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made\Downloads\FM\"/>
    </mc:Choice>
  </mc:AlternateContent>
  <xr:revisionPtr revIDLastSave="0" documentId="13_ncr:1_{EF0F3D39-DD48-472C-AF4B-05A2890EFA2B}" xr6:coauthVersionLast="47" xr6:coauthVersionMax="47" xr10:uidLastSave="{00000000-0000-0000-0000-000000000000}"/>
  <bookViews>
    <workbookView xWindow="-108" yWindow="-108" windowWidth="23256" windowHeight="12456" tabRatio="714" firstSheet="4" activeTab="18" xr2:uid="{9EFE3EB3-DFBF-4E69-931C-04943A9AE8CB}"/>
  </bookViews>
  <sheets>
    <sheet name="Cash Flow Data" sheetId="3" state="hidden" r:id="rId1"/>
    <sheet name="Company Flows" sheetId="12" state="hidden" r:id="rId2"/>
    <sheet name="WACC (2)" sheetId="23" state="hidden" r:id="rId3"/>
    <sheet name="Data Sheet" sheetId="2" state="hidden" r:id="rId4"/>
    <sheet name="Historical Analysis" sheetId="1" r:id="rId5"/>
    <sheet name="Ratio Analysis" sheetId="4" r:id="rId6"/>
    <sheet name="Nestle - Forecasting" sheetId="9" r:id="rId7"/>
    <sheet name="Beta - FMCG" sheetId="15" r:id="rId8"/>
    <sheet name="Regression" sheetId="7" state="hidden" r:id="rId9"/>
    <sheet name="Forecasting" sheetId="5" state="hidden" r:id="rId10"/>
    <sheet name="Beta - Retailer" sheetId="13" state="hidden" r:id="rId11"/>
    <sheet name="WACC" sheetId="10" r:id="rId12"/>
    <sheet name="Rm" sheetId="16" state="hidden" r:id="rId13"/>
    <sheet name="Beta comparable companies" sheetId="14" state="hidden" r:id="rId14"/>
    <sheet name="Bajaj Finserve -Raw Data" sheetId="18" state="hidden" r:id="rId15"/>
    <sheet name="Intrinsic Growth" sheetId="19" state="hidden" r:id="rId16"/>
    <sheet name="DCF" sheetId="20" state="hidden" r:id="rId17"/>
    <sheet name="DCF Notes" sheetId="21" state="hidden" r:id="rId18"/>
    <sheet name="DCF " sheetId="22" r:id="rId19"/>
    <sheet name="Sheet1" sheetId="24" state="hidden" r:id="rId20"/>
  </sheets>
  <definedNames>
    <definedName name="_xlnm._FilterDatabase" localSheetId="7" hidden="1">'Beta - FMCG'!$B$7:$D$7</definedName>
    <definedName name="_xlnm._FilterDatabase" localSheetId="10" hidden="1">'Beta - Retailer'!$B$5:$D$5</definedName>
    <definedName name="_xlnm.Print_Area" localSheetId="18">'DCF '!$B$2:$T$52</definedName>
    <definedName name="_xlnm.Print_Area" localSheetId="6">'Nestle - Forecasting'!$A$6:$S$45</definedName>
    <definedName name="_xlnm.Print_Area" localSheetId="11">WACC!$A$1:$N$54</definedName>
    <definedName name="_xlnm.Print_Area" localSheetId="2">'WACC (2)'!$A$1:$N$54</definedName>
    <definedName name="UPDATE">'Data Sheet'!$E$1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4" i="24" l="1"/>
  <c r="M14" i="24"/>
  <c r="L14" i="24"/>
  <c r="K14" i="24"/>
  <c r="J14" i="24"/>
  <c r="I14" i="24"/>
  <c r="H14" i="24"/>
  <c r="G14" i="24"/>
  <c r="F14" i="24"/>
  <c r="E14" i="24"/>
  <c r="D14" i="24"/>
  <c r="C14" i="24"/>
  <c r="N8" i="24"/>
  <c r="N16" i="24" s="1"/>
  <c r="N18" i="24" s="1"/>
  <c r="N21" i="24" s="1"/>
  <c r="M8" i="24"/>
  <c r="M16" i="24" s="1"/>
  <c r="L8" i="24"/>
  <c r="L16" i="24" s="1"/>
  <c r="K8" i="24"/>
  <c r="K16" i="24" s="1"/>
  <c r="J8" i="24"/>
  <c r="J16" i="24" s="1"/>
  <c r="I8" i="24"/>
  <c r="I16" i="24" s="1"/>
  <c r="I18" i="24" s="1"/>
  <c r="I21" i="24" s="1"/>
  <c r="H8" i="24"/>
  <c r="H16" i="24" s="1"/>
  <c r="G8" i="24"/>
  <c r="G16" i="24" s="1"/>
  <c r="F8" i="24"/>
  <c r="F16" i="24" s="1"/>
  <c r="E8" i="24"/>
  <c r="E16" i="24" s="1"/>
  <c r="D8" i="24"/>
  <c r="D16" i="24" s="1"/>
  <c r="D18" i="24" s="1"/>
  <c r="D21" i="24" s="1"/>
  <c r="C8" i="24"/>
  <c r="C16" i="24" s="1"/>
  <c r="D3" i="24"/>
  <c r="E3" i="24" s="1"/>
  <c r="F3" i="24" s="1"/>
  <c r="G3" i="24" s="1"/>
  <c r="H3" i="24" s="1"/>
  <c r="I3" i="24" s="1"/>
  <c r="J3" i="24" s="1"/>
  <c r="K3" i="24" s="1"/>
  <c r="L3" i="24" s="1"/>
  <c r="M3" i="24" s="1"/>
  <c r="N3" i="24" s="1"/>
  <c r="I45" i="22"/>
  <c r="I41" i="22"/>
  <c r="I37" i="22"/>
  <c r="I36" i="22"/>
  <c r="F8" i="22" a="1"/>
  <c r="E37" i="22" s="1"/>
  <c r="F25" i="22"/>
  <c r="E32" i="22"/>
  <c r="C39" i="23"/>
  <c r="C38" i="23"/>
  <c r="K30" i="23"/>
  <c r="D30" i="23"/>
  <c r="K39" i="23" s="1"/>
  <c r="D29" i="23"/>
  <c r="D31" i="23" s="1"/>
  <c r="K44" i="23" s="1"/>
  <c r="I24" i="23"/>
  <c r="G24" i="23"/>
  <c r="F24" i="23"/>
  <c r="I23" i="23"/>
  <c r="F23" i="23"/>
  <c r="H20" i="23"/>
  <c r="G20" i="23"/>
  <c r="J20" i="23" s="1"/>
  <c r="H19" i="23"/>
  <c r="G19" i="23"/>
  <c r="J19" i="23" s="1"/>
  <c r="H18" i="23"/>
  <c r="G18" i="23"/>
  <c r="J18" i="23" s="1"/>
  <c r="H17" i="23"/>
  <c r="G17" i="23"/>
  <c r="J17" i="23" s="1"/>
  <c r="H16" i="23"/>
  <c r="G16" i="23"/>
  <c r="H15" i="23"/>
  <c r="G15" i="23"/>
  <c r="J15" i="23" s="1"/>
  <c r="F20" i="22"/>
  <c r="F23" i="22" s="1"/>
  <c r="F12" i="22"/>
  <c r="H17" i="22"/>
  <c r="G9" i="22"/>
  <c r="H9" i="22" s="1"/>
  <c r="I9" i="22" s="1"/>
  <c r="J9" i="22" s="1"/>
  <c r="K9" i="22" s="1"/>
  <c r="I3" i="16"/>
  <c r="E50" i="19"/>
  <c r="E39" i="19"/>
  <c r="M11" i="15"/>
  <c r="D26" i="5"/>
  <c r="D24" i="5"/>
  <c r="D23" i="5"/>
  <c r="D18" i="7"/>
  <c r="M18" i="24" l="1"/>
  <c r="M21" i="24" s="1"/>
  <c r="L18" i="24"/>
  <c r="L21" i="24" s="1"/>
  <c r="K18" i="24"/>
  <c r="K21" i="24" s="1"/>
  <c r="J18" i="24"/>
  <c r="J21" i="24" s="1"/>
  <c r="H18" i="24"/>
  <c r="H21" i="24" s="1"/>
  <c r="G18" i="24"/>
  <c r="G21" i="24" s="1"/>
  <c r="F18" i="24"/>
  <c r="F21" i="24" s="1"/>
  <c r="E18" i="24"/>
  <c r="E21" i="24" s="1"/>
  <c r="C40" i="23"/>
  <c r="D39" i="23" s="1"/>
  <c r="D38" i="23"/>
  <c r="H24" i="23"/>
  <c r="H23" i="23"/>
  <c r="E38" i="23" s="1"/>
  <c r="G23" i="23"/>
  <c r="J16" i="23"/>
  <c r="J23" i="23"/>
  <c r="J24" i="23"/>
  <c r="K37" i="23" s="1"/>
  <c r="E51" i="19"/>
  <c r="I53" i="19" s="1"/>
  <c r="F45" i="19"/>
  <c r="E35" i="19"/>
  <c r="E49" i="19"/>
  <c r="E47" i="19"/>
  <c r="F45" i="20"/>
  <c r="I13" i="20"/>
  <c r="F44" i="20"/>
  <c r="F43" i="20"/>
  <c r="C47" i="20"/>
  <c r="C45" i="20"/>
  <c r="C44" i="20"/>
  <c r="C43" i="20"/>
  <c r="J44" i="19"/>
  <c r="G45" i="19"/>
  <c r="J10" i="20"/>
  <c r="J13" i="20"/>
  <c r="H13" i="20"/>
  <c r="G13" i="20"/>
  <c r="F13" i="20"/>
  <c r="E13" i="20"/>
  <c r="G12" i="20"/>
  <c r="H12" i="20" s="1"/>
  <c r="I12" i="20" s="1"/>
  <c r="J12" i="20" s="1"/>
  <c r="F12" i="20"/>
  <c r="I59" i="19"/>
  <c r="E37" i="19"/>
  <c r="D40" i="23" l="1"/>
  <c r="E40" i="23" s="1"/>
  <c r="E39" i="23" s="1"/>
  <c r="D43" i="23"/>
  <c r="K45" i="23"/>
  <c r="E8" i="20"/>
  <c r="F8" i="20" s="1"/>
  <c r="G8" i="20" s="1"/>
  <c r="H8" i="20" s="1"/>
  <c r="I8" i="20" s="1"/>
  <c r="J8" i="20" s="1"/>
  <c r="D7" i="20"/>
  <c r="D9" i="20" s="1"/>
  <c r="D5" i="20"/>
  <c r="E5" i="20" s="1"/>
  <c r="F5" i="20" s="1"/>
  <c r="G5" i="20" s="1"/>
  <c r="H5" i="20" s="1"/>
  <c r="I5" i="20" s="1"/>
  <c r="J5" i="20" s="1"/>
  <c r="I44" i="19"/>
  <c r="H44" i="19"/>
  <c r="G44" i="19"/>
  <c r="F44" i="19"/>
  <c r="E44" i="19"/>
  <c r="N45" i="18"/>
  <c r="N47" i="18" s="1"/>
  <c r="N49" i="18" s="1"/>
  <c r="M45" i="18"/>
  <c r="M47" i="18" s="1"/>
  <c r="M49" i="18" s="1"/>
  <c r="L45" i="18"/>
  <c r="L47" i="18" s="1"/>
  <c r="L49" i="18" s="1"/>
  <c r="K45" i="18"/>
  <c r="K47" i="18" s="1"/>
  <c r="K49" i="18" s="1"/>
  <c r="J45" i="18"/>
  <c r="J47" i="18" s="1"/>
  <c r="J49" i="18" s="1"/>
  <c r="I45" i="18"/>
  <c r="I47" i="18" s="1"/>
  <c r="I49" i="18" s="1"/>
  <c r="H45" i="18"/>
  <c r="H47" i="18" s="1"/>
  <c r="H49" i="18" s="1"/>
  <c r="H51" i="18" s="1"/>
  <c r="G45" i="18"/>
  <c r="G47" i="18" s="1"/>
  <c r="G49" i="18" s="1"/>
  <c r="G51" i="18" s="1"/>
  <c r="F45" i="18"/>
  <c r="F47" i="18" s="1"/>
  <c r="F49" i="18" s="1"/>
  <c r="F51" i="18" s="1"/>
  <c r="E45" i="18"/>
  <c r="E47" i="18" s="1"/>
  <c r="E49" i="18" s="1"/>
  <c r="E51" i="18" s="1"/>
  <c r="D45" i="18"/>
  <c r="D47" i="18" s="1"/>
  <c r="D49" i="18" s="1"/>
  <c r="D51" i="18" s="1"/>
  <c r="C45" i="18"/>
  <c r="C47" i="18" s="1"/>
  <c r="C49" i="18" s="1"/>
  <c r="C51" i="18" s="1"/>
  <c r="J32" i="19"/>
  <c r="I32" i="19"/>
  <c r="H32" i="19"/>
  <c r="G32" i="19"/>
  <c r="F32" i="19"/>
  <c r="E32" i="19"/>
  <c r="F29" i="19"/>
  <c r="G29" i="19"/>
  <c r="H29" i="19"/>
  <c r="I29" i="19"/>
  <c r="J29" i="19"/>
  <c r="F30" i="19"/>
  <c r="G30" i="19"/>
  <c r="H30" i="19"/>
  <c r="I30" i="19"/>
  <c r="J30" i="19"/>
  <c r="E30" i="19"/>
  <c r="E29" i="19"/>
  <c r="B29" i="19"/>
  <c r="B30" i="19"/>
  <c r="E23" i="19"/>
  <c r="F23" i="19"/>
  <c r="G23" i="19"/>
  <c r="H23" i="19"/>
  <c r="I23" i="19"/>
  <c r="J23" i="19"/>
  <c r="E24" i="19"/>
  <c r="F24" i="19"/>
  <c r="G24" i="19"/>
  <c r="H24" i="19"/>
  <c r="I24" i="19"/>
  <c r="J24" i="19"/>
  <c r="E25" i="19"/>
  <c r="F25" i="19"/>
  <c r="G25" i="19"/>
  <c r="H25" i="19"/>
  <c r="I25" i="19"/>
  <c r="J25" i="19"/>
  <c r="E26" i="19"/>
  <c r="F26" i="19"/>
  <c r="G26" i="19"/>
  <c r="H26" i="19"/>
  <c r="I26" i="19"/>
  <c r="J26" i="19"/>
  <c r="E27" i="19"/>
  <c r="F27" i="19"/>
  <c r="G27" i="19"/>
  <c r="H27" i="19"/>
  <c r="I27" i="19"/>
  <c r="J27" i="19"/>
  <c r="E28" i="19"/>
  <c r="F28" i="19"/>
  <c r="G28" i="19"/>
  <c r="H28" i="19"/>
  <c r="I28" i="19"/>
  <c r="J28" i="19"/>
  <c r="B26" i="19"/>
  <c r="B27" i="19"/>
  <c r="B28" i="19"/>
  <c r="B25" i="19"/>
  <c r="B24" i="19"/>
  <c r="B23" i="19"/>
  <c r="J16" i="19"/>
  <c r="I16" i="19"/>
  <c r="H16" i="19"/>
  <c r="G16" i="19"/>
  <c r="F16" i="19"/>
  <c r="J15" i="19"/>
  <c r="I15" i="19"/>
  <c r="H15" i="19"/>
  <c r="G15" i="19"/>
  <c r="F15" i="19"/>
  <c r="E16" i="19"/>
  <c r="E15" i="19"/>
  <c r="B16" i="19"/>
  <c r="B15" i="19"/>
  <c r="F11" i="19"/>
  <c r="G11" i="19"/>
  <c r="H11" i="19"/>
  <c r="I11" i="19"/>
  <c r="J11" i="19"/>
  <c r="E11" i="19"/>
  <c r="J10" i="19"/>
  <c r="I10" i="19"/>
  <c r="H10" i="19"/>
  <c r="G10" i="19"/>
  <c r="F10" i="19"/>
  <c r="E10" i="19"/>
  <c r="J9" i="19"/>
  <c r="I9" i="19"/>
  <c r="H9" i="19"/>
  <c r="G9" i="19"/>
  <c r="F9" i="19"/>
  <c r="E9" i="19"/>
  <c r="B11" i="19"/>
  <c r="B10" i="19"/>
  <c r="B9" i="19"/>
  <c r="N27" i="18"/>
  <c r="M27" i="18"/>
  <c r="L27" i="18"/>
  <c r="K27" i="18"/>
  <c r="J27" i="18"/>
  <c r="I27" i="18"/>
  <c r="H27" i="18"/>
  <c r="G27" i="18"/>
  <c r="F27" i="18"/>
  <c r="E27" i="18"/>
  <c r="D27" i="18"/>
  <c r="C27" i="18"/>
  <c r="K47" i="23" l="1"/>
  <c r="E43" i="23"/>
  <c r="K38" i="23" s="1"/>
  <c r="K40" i="23" s="1"/>
  <c r="K31" i="23" s="1"/>
  <c r="K32" i="23" s="1"/>
  <c r="K46" i="23" s="1"/>
  <c r="K48" i="23" s="1"/>
  <c r="K51" i="18"/>
  <c r="G37" i="19"/>
  <c r="G47" i="19" s="1"/>
  <c r="G49" i="19" s="1"/>
  <c r="L51" i="18"/>
  <c r="H37" i="19"/>
  <c r="H47" i="19" s="1"/>
  <c r="H49" i="19" s="1"/>
  <c r="E59" i="19"/>
  <c r="E61" i="19" s="1"/>
  <c r="I51" i="18"/>
  <c r="I37" i="19"/>
  <c r="I47" i="19" s="1"/>
  <c r="I49" i="19" s="1"/>
  <c r="M51" i="18"/>
  <c r="F37" i="19"/>
  <c r="F47" i="19" s="1"/>
  <c r="F49" i="19" s="1"/>
  <c r="J51" i="18"/>
  <c r="J37" i="19"/>
  <c r="J47" i="19" s="1"/>
  <c r="J49" i="19" s="1"/>
  <c r="N51" i="18"/>
  <c r="H31" i="19"/>
  <c r="H33" i="19" s="1"/>
  <c r="G17" i="19"/>
  <c r="I17" i="19"/>
  <c r="I31" i="19"/>
  <c r="I33" i="19" s="1"/>
  <c r="E31" i="19"/>
  <c r="E33" i="19" s="1"/>
  <c r="G31" i="19"/>
  <c r="G33" i="19" s="1"/>
  <c r="E17" i="19"/>
  <c r="H17" i="19"/>
  <c r="J31" i="19"/>
  <c r="J33" i="19" s="1"/>
  <c r="F31" i="19"/>
  <c r="F33" i="19" s="1"/>
  <c r="F12" i="19"/>
  <c r="J12" i="19"/>
  <c r="H12" i="19"/>
  <c r="G12" i="19"/>
  <c r="G19" i="19" s="1"/>
  <c r="E12" i="19"/>
  <c r="I12" i="19"/>
  <c r="I19" i="19" s="1"/>
  <c r="F17" i="19"/>
  <c r="J17" i="19"/>
  <c r="I5" i="16"/>
  <c r="K30" i="10" s="1"/>
  <c r="D29" i="10"/>
  <c r="J11" i="7"/>
  <c r="J9" i="7"/>
  <c r="J8" i="7"/>
  <c r="D30" i="10"/>
  <c r="G35" i="19" l="1"/>
  <c r="G39" i="19" s="1"/>
  <c r="G60" i="19" s="1"/>
  <c r="I35" i="19"/>
  <c r="I39" i="19" s="1"/>
  <c r="I60" i="19" s="1"/>
  <c r="H19" i="19"/>
  <c r="J19" i="19"/>
  <c r="E19" i="19"/>
  <c r="E60" i="19" s="1"/>
  <c r="F19" i="19"/>
  <c r="C39" i="10"/>
  <c r="C38" i="10"/>
  <c r="I24" i="10"/>
  <c r="I23" i="10"/>
  <c r="G15" i="10"/>
  <c r="J15" i="10" s="1"/>
  <c r="H15" i="10"/>
  <c r="F24" i="10"/>
  <c r="F23" i="10"/>
  <c r="M7" i="13"/>
  <c r="C40" i="10" l="1"/>
  <c r="H35" i="19"/>
  <c r="H39" i="19" s="1"/>
  <c r="H60" i="19" s="1"/>
  <c r="H45" i="19"/>
  <c r="H50" i="19" s="1"/>
  <c r="H51" i="19" s="1"/>
  <c r="H59" i="19" s="1"/>
  <c r="H61" i="19" s="1"/>
  <c r="F35" i="19"/>
  <c r="F39" i="19" s="1"/>
  <c r="F60" i="19" s="1"/>
  <c r="F50" i="19"/>
  <c r="F51" i="19" s="1"/>
  <c r="I45" i="19"/>
  <c r="I50" i="19" s="1"/>
  <c r="I51" i="19" s="1"/>
  <c r="I61" i="19" s="1"/>
  <c r="G50" i="19"/>
  <c r="G51" i="19" s="1"/>
  <c r="G59" i="19" s="1"/>
  <c r="G61" i="19" s="1"/>
  <c r="J35" i="19"/>
  <c r="J39" i="19" s="1"/>
  <c r="J60" i="19" s="1"/>
  <c r="J45" i="19"/>
  <c r="J50" i="19" s="1"/>
  <c r="M6" i="13"/>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9" i="15"/>
  <c r="I28" i="15"/>
  <c r="I27" i="15"/>
  <c r="I26" i="15"/>
  <c r="I25" i="15"/>
  <c r="I24" i="15"/>
  <c r="I23" i="15"/>
  <c r="I22" i="15"/>
  <c r="I21" i="15"/>
  <c r="I20" i="15"/>
  <c r="I19" i="15"/>
  <c r="I18" i="15"/>
  <c r="I17" i="15"/>
  <c r="I16" i="15"/>
  <c r="I15" i="15"/>
  <c r="I14" i="15"/>
  <c r="I13" i="15"/>
  <c r="I12" i="15"/>
  <c r="I11" i="15"/>
  <c r="I10" i="15"/>
  <c r="I9"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G16" i="10"/>
  <c r="J16" i="10" s="1"/>
  <c r="H16" i="10"/>
  <c r="D39" i="10" l="1"/>
  <c r="D38" i="10"/>
  <c r="M12" i="15"/>
  <c r="M10" i="15"/>
  <c r="M37" i="15" s="1"/>
  <c r="M42" i="15" s="1"/>
  <c r="J51" i="19"/>
  <c r="D10" i="20" s="1"/>
  <c r="F59" i="19"/>
  <c r="F61" i="19" s="1"/>
  <c r="I54" i="19"/>
  <c r="M41" i="13"/>
  <c r="M36" i="13"/>
  <c r="M9" i="13"/>
  <c r="D11" i="20" l="1"/>
  <c r="E10" i="20"/>
  <c r="F10" i="20" s="1"/>
  <c r="G10" i="20" s="1"/>
  <c r="H10" i="20" s="1"/>
  <c r="I10" i="20" s="1"/>
  <c r="J59" i="19"/>
  <c r="H110" i="13"/>
  <c r="H109" i="13"/>
  <c r="H108" i="13"/>
  <c r="H107" i="13"/>
  <c r="H106" i="13"/>
  <c r="H105" i="13"/>
  <c r="H104" i="13"/>
  <c r="H103" i="13"/>
  <c r="H102" i="13"/>
  <c r="H101" i="13"/>
  <c r="H100" i="13"/>
  <c r="H99" i="13"/>
  <c r="H98" i="13"/>
  <c r="H97" i="13"/>
  <c r="H96" i="13"/>
  <c r="H95" i="13"/>
  <c r="H94" i="13"/>
  <c r="H93" i="13"/>
  <c r="H92" i="13"/>
  <c r="H91" i="13"/>
  <c r="H90" i="13"/>
  <c r="H89" i="13"/>
  <c r="H88" i="13"/>
  <c r="H87" i="13"/>
  <c r="H86" i="13"/>
  <c r="H85" i="13"/>
  <c r="H84" i="13"/>
  <c r="H83" i="13"/>
  <c r="H82" i="13"/>
  <c r="H81" i="13"/>
  <c r="H80" i="13"/>
  <c r="H79" i="13"/>
  <c r="H78" i="13"/>
  <c r="H77" i="13"/>
  <c r="H76" i="13"/>
  <c r="H75" i="13"/>
  <c r="H74" i="13"/>
  <c r="H73" i="13"/>
  <c r="H72" i="13"/>
  <c r="H71" i="13"/>
  <c r="H70" i="13"/>
  <c r="H69" i="13"/>
  <c r="H68" i="13"/>
  <c r="H67" i="13"/>
  <c r="H66" i="13"/>
  <c r="H65" i="13"/>
  <c r="H64" i="13"/>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10" i="13"/>
  <c r="H9" i="13"/>
  <c r="H8" i="13"/>
  <c r="H7" i="13"/>
  <c r="D110" i="13"/>
  <c r="D109" i="13"/>
  <c r="D108" i="13"/>
  <c r="D107" i="13"/>
  <c r="D106" i="13"/>
  <c r="D105" i="13"/>
  <c r="D104" i="13"/>
  <c r="D103" i="13"/>
  <c r="D102" i="13"/>
  <c r="D101" i="13"/>
  <c r="D100" i="13"/>
  <c r="D99" i="13"/>
  <c r="D98" i="13"/>
  <c r="D97" i="13"/>
  <c r="D96" i="13"/>
  <c r="D95" i="13"/>
  <c r="D94" i="13"/>
  <c r="D93" i="13"/>
  <c r="D92" i="13"/>
  <c r="D91" i="13"/>
  <c r="D90" i="13"/>
  <c r="D89" i="13"/>
  <c r="D88" i="13"/>
  <c r="D87" i="13"/>
  <c r="D86" i="13"/>
  <c r="D85" i="13"/>
  <c r="D84" i="13"/>
  <c r="D83" i="13"/>
  <c r="D82" i="13"/>
  <c r="D81" i="13"/>
  <c r="D80" i="13"/>
  <c r="D79" i="13"/>
  <c r="D78" i="13"/>
  <c r="D77" i="13"/>
  <c r="D76" i="13"/>
  <c r="D75" i="13"/>
  <c r="D74" i="13"/>
  <c r="D73" i="13"/>
  <c r="D72" i="13"/>
  <c r="D71" i="13"/>
  <c r="D70" i="13"/>
  <c r="D69" i="13"/>
  <c r="D68" i="13"/>
  <c r="D67" i="13"/>
  <c r="D66" i="13"/>
  <c r="D65" i="13"/>
  <c r="D64" i="13"/>
  <c r="D63" i="13"/>
  <c r="D62" i="13"/>
  <c r="D61" i="13"/>
  <c r="D60" i="13"/>
  <c r="D59" i="13"/>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C17" i="20" l="1"/>
  <c r="E7" i="20" s="1"/>
  <c r="J61" i="19"/>
  <c r="K39" i="10"/>
  <c r="D31" i="10"/>
  <c r="K44" i="10" s="1"/>
  <c r="H20" i="10"/>
  <c r="H19" i="10"/>
  <c r="H18" i="10"/>
  <c r="H17" i="10"/>
  <c r="G20" i="10"/>
  <c r="J20" i="10" s="1"/>
  <c r="G19" i="10"/>
  <c r="J19" i="10" s="1"/>
  <c r="G18" i="10"/>
  <c r="J18" i="10" s="1"/>
  <c r="G17" i="10"/>
  <c r="J17" i="10" s="1"/>
  <c r="J23" i="10" l="1"/>
  <c r="J24" i="10"/>
  <c r="K37" i="10" s="1"/>
  <c r="F7" i="20"/>
  <c r="E9" i="20"/>
  <c r="E11" i="20" s="1"/>
  <c r="E15" i="20" s="1"/>
  <c r="H24" i="10"/>
  <c r="H23" i="10"/>
  <c r="E38" i="10" s="1"/>
  <c r="G23" i="10"/>
  <c r="G24" i="10"/>
  <c r="K45" i="10" l="1"/>
  <c r="G7" i="20"/>
  <c r="F9" i="20"/>
  <c r="F11" i="20" s="1"/>
  <c r="F15" i="20" s="1"/>
  <c r="D40" i="10"/>
  <c r="E40" i="10" s="1"/>
  <c r="E39" i="10" s="1"/>
  <c r="E43" i="10" s="1"/>
  <c r="K38" i="10" s="1"/>
  <c r="K40" i="10" s="1"/>
  <c r="K31" i="10" s="1"/>
  <c r="K32" i="10" s="1"/>
  <c r="K46" i="10" s="1"/>
  <c r="D43" i="10"/>
  <c r="D27" i="7"/>
  <c r="D19" i="7"/>
  <c r="E19" i="7" s="1"/>
  <c r="O9" i="9" a="1"/>
  <c r="O9" i="9" s="1"/>
  <c r="M7" i="9"/>
  <c r="J9" i="9" a="1"/>
  <c r="J9" i="9" s="1"/>
  <c r="H7" i="9"/>
  <c r="B7" i="9"/>
  <c r="D9" i="9" a="1"/>
  <c r="D9" i="9" s="1"/>
  <c r="C9" i="9"/>
  <c r="C10" i="9" s="1"/>
  <c r="C11" i="9" s="1"/>
  <c r="C12" i="9" s="1"/>
  <c r="C13" i="9" s="1"/>
  <c r="C14" i="9" s="1"/>
  <c r="C15" i="9" s="1"/>
  <c r="C16" i="9" s="1"/>
  <c r="C17" i="9" s="1"/>
  <c r="C18" i="9" s="1"/>
  <c r="C19" i="9" s="1"/>
  <c r="C20" i="9" s="1"/>
  <c r="C21" i="9" s="1"/>
  <c r="C22" i="9" s="1"/>
  <c r="C23" i="9" s="1"/>
  <c r="B10" i="9"/>
  <c r="B11" i="9" s="1"/>
  <c r="B12" i="9" s="1"/>
  <c r="B13" i="9" s="1"/>
  <c r="B14" i="9" s="1"/>
  <c r="B15" i="9" s="1"/>
  <c r="B16" i="9" s="1"/>
  <c r="B17" i="9" s="1"/>
  <c r="B18" i="9" s="1"/>
  <c r="B19" i="9" s="1"/>
  <c r="D22" i="7"/>
  <c r="D21" i="7"/>
  <c r="D20" i="7"/>
  <c r="D28" i="7"/>
  <c r="E31" i="7"/>
  <c r="E30" i="7"/>
  <c r="E29" i="7"/>
  <c r="E28" i="7"/>
  <c r="D31" i="7"/>
  <c r="D30" i="7"/>
  <c r="D29" i="7"/>
  <c r="E18" i="7"/>
  <c r="B20" i="9" l="1"/>
  <c r="B21" i="9" s="1"/>
  <c r="B22" i="9" s="1"/>
  <c r="H7" i="20"/>
  <c r="G9" i="20"/>
  <c r="G11" i="20" s="1"/>
  <c r="G15" i="20" s="1"/>
  <c r="K47" i="10"/>
  <c r="K48" i="10" s="1"/>
  <c r="O16" i="9"/>
  <c r="O12" i="9"/>
  <c r="O15" i="9"/>
  <c r="O11" i="9"/>
  <c r="O18" i="9"/>
  <c r="O14" i="9"/>
  <c r="O10" i="9"/>
  <c r="O17" i="9"/>
  <c r="P17" i="9" s="1"/>
  <c r="O13" i="9"/>
  <c r="J16" i="9"/>
  <c r="J12" i="9"/>
  <c r="J15" i="9"/>
  <c r="J11" i="9"/>
  <c r="J18" i="9"/>
  <c r="J14" i="9"/>
  <c r="J10" i="9"/>
  <c r="K10" i="9" s="1"/>
  <c r="J17" i="9"/>
  <c r="J13" i="9"/>
  <c r="D16" i="9"/>
  <c r="D12" i="9"/>
  <c r="D15" i="9"/>
  <c r="D11" i="9"/>
  <c r="D18" i="9"/>
  <c r="D14" i="9"/>
  <c r="D10" i="9"/>
  <c r="D17" i="9"/>
  <c r="D13" i="9"/>
  <c r="E20" i="7"/>
  <c r="P15" i="9" l="1"/>
  <c r="P14" i="9"/>
  <c r="K15" i="9"/>
  <c r="K14" i="9"/>
  <c r="E18" i="9"/>
  <c r="D19" i="9"/>
  <c r="E19" i="9" s="1"/>
  <c r="E10" i="9"/>
  <c r="D20" i="9"/>
  <c r="I7" i="20"/>
  <c r="H9" i="20"/>
  <c r="H11" i="20" s="1"/>
  <c r="H15" i="20" s="1"/>
  <c r="O22" i="9"/>
  <c r="O23" i="9"/>
  <c r="P10" i="9"/>
  <c r="O21" i="9"/>
  <c r="O19" i="9"/>
  <c r="P19" i="9" s="1"/>
  <c r="P12" i="9"/>
  <c r="P13" i="9"/>
  <c r="P18" i="9"/>
  <c r="O20" i="9"/>
  <c r="P20" i="9" s="1"/>
  <c r="P11" i="9"/>
  <c r="P16" i="9"/>
  <c r="E16" i="9"/>
  <c r="K12" i="9"/>
  <c r="E11" i="9"/>
  <c r="K18" i="9"/>
  <c r="K16" i="9"/>
  <c r="J22" i="9"/>
  <c r="K13" i="9"/>
  <c r="J23" i="9"/>
  <c r="K23" i="9" s="1"/>
  <c r="J21" i="9"/>
  <c r="K17" i="9"/>
  <c r="K11" i="9"/>
  <c r="J19" i="9"/>
  <c r="K19" i="9" s="1"/>
  <c r="J20" i="9"/>
  <c r="E13" i="9"/>
  <c r="E17" i="9"/>
  <c r="E15" i="9"/>
  <c r="D21" i="9"/>
  <c r="D22" i="9"/>
  <c r="E14" i="9"/>
  <c r="E12" i="9"/>
  <c r="B23" i="9"/>
  <c r="D23" i="9" s="1"/>
  <c r="E22" i="7"/>
  <c r="E21" i="7"/>
  <c r="C19" i="7"/>
  <c r="C20" i="7" s="1"/>
  <c r="C21" i="7" s="1"/>
  <c r="C22" i="7" s="1"/>
  <c r="C18" i="7"/>
  <c r="B19" i="7"/>
  <c r="B20" i="7" s="1"/>
  <c r="B21" i="7" s="1"/>
  <c r="B22" i="7" s="1"/>
  <c r="B18" i="7"/>
  <c r="E17" i="7"/>
  <c r="E16" i="7"/>
  <c r="E15" i="7"/>
  <c r="E14" i="7"/>
  <c r="E13" i="7"/>
  <c r="E12" i="7"/>
  <c r="E11" i="7"/>
  <c r="E10" i="7"/>
  <c r="E9" i="7"/>
  <c r="E8" i="7"/>
  <c r="E7" i="7"/>
  <c r="C7" i="7"/>
  <c r="C8" i="7" s="1"/>
  <c r="C9" i="7" s="1"/>
  <c r="C10" i="7" s="1"/>
  <c r="C11" i="7" s="1"/>
  <c r="C12" i="7" s="1"/>
  <c r="C13" i="7" s="1"/>
  <c r="C14" i="7" s="1"/>
  <c r="C15" i="7" s="1"/>
  <c r="C16" i="7" s="1"/>
  <c r="C17" i="7" s="1"/>
  <c r="B7" i="7"/>
  <c r="B8" i="7" s="1"/>
  <c r="B9" i="7" s="1"/>
  <c r="B10" i="7" s="1"/>
  <c r="B11" i="7" s="1"/>
  <c r="B12" i="7" s="1"/>
  <c r="B13" i="7" s="1"/>
  <c r="B14" i="7" s="1"/>
  <c r="B15" i="7" s="1"/>
  <c r="B16" i="7" s="1"/>
  <c r="B17" i="7" s="1"/>
  <c r="M24" i="5"/>
  <c r="M26" i="5"/>
  <c r="N18" i="5"/>
  <c r="N17" i="5"/>
  <c r="N16" i="5"/>
  <c r="N15" i="5"/>
  <c r="N14" i="5"/>
  <c r="N13" i="5"/>
  <c r="N12" i="5"/>
  <c r="N11" i="5"/>
  <c r="N10" i="5"/>
  <c r="N9" i="5"/>
  <c r="M21" i="5" s="1"/>
  <c r="L9" i="5"/>
  <c r="L10" i="5" s="1"/>
  <c r="L11" i="5" s="1"/>
  <c r="L12" i="5" s="1"/>
  <c r="L13" i="5" s="1"/>
  <c r="L14" i="5" s="1"/>
  <c r="L15" i="5" s="1"/>
  <c r="L16" i="5" s="1"/>
  <c r="L17" i="5" s="1"/>
  <c r="L18" i="5" s="1"/>
  <c r="N8" i="5"/>
  <c r="L8" i="5"/>
  <c r="K8" i="5"/>
  <c r="K9" i="5" s="1"/>
  <c r="K10" i="5" s="1"/>
  <c r="K11" i="5" s="1"/>
  <c r="K12" i="5" s="1"/>
  <c r="K13" i="5" s="1"/>
  <c r="K14" i="5" s="1"/>
  <c r="K15" i="5" s="1"/>
  <c r="K16" i="5" s="1"/>
  <c r="K17" i="5" s="1"/>
  <c r="K18" i="5" s="1"/>
  <c r="D21" i="5"/>
  <c r="E18" i="5"/>
  <c r="E17" i="5"/>
  <c r="E16" i="5"/>
  <c r="E15" i="5"/>
  <c r="E14" i="5"/>
  <c r="E13" i="5"/>
  <c r="E12" i="5"/>
  <c r="E11" i="5"/>
  <c r="E10" i="5"/>
  <c r="E9" i="5"/>
  <c r="E8" i="5"/>
  <c r="C8" i="5"/>
  <c r="C9" i="5" s="1"/>
  <c r="C10" i="5" s="1"/>
  <c r="C11" i="5" s="1"/>
  <c r="C12" i="5" s="1"/>
  <c r="C13" i="5" s="1"/>
  <c r="C14" i="5" s="1"/>
  <c r="C15" i="5" s="1"/>
  <c r="C16" i="5" s="1"/>
  <c r="C17" i="5" s="1"/>
  <c r="C18" i="5" s="1"/>
  <c r="B8" i="5"/>
  <c r="B9" i="5" s="1"/>
  <c r="B10" i="5" s="1"/>
  <c r="B11" i="5" s="1"/>
  <c r="B12" i="5" s="1"/>
  <c r="B13" i="5" s="1"/>
  <c r="B14" i="5" s="1"/>
  <c r="B15" i="5" s="1"/>
  <c r="B16" i="5" s="1"/>
  <c r="B17" i="5" s="1"/>
  <c r="B18" i="5" s="1"/>
  <c r="P23" i="9" l="1"/>
  <c r="J7" i="20"/>
  <c r="J9" i="20" s="1"/>
  <c r="J11" i="20" s="1"/>
  <c r="J15" i="20" s="1"/>
  <c r="I9" i="20"/>
  <c r="I11" i="20" s="1"/>
  <c r="I15" i="20" s="1"/>
  <c r="P21" i="9"/>
  <c r="K22" i="9"/>
  <c r="P22" i="9"/>
  <c r="K20" i="9"/>
  <c r="K21" i="9"/>
  <c r="E21" i="9"/>
  <c r="E23" i="9"/>
  <c r="E20" i="9"/>
  <c r="E22" i="9"/>
  <c r="J6" i="7"/>
  <c r="M23" i="5"/>
  <c r="B7" i="4" l="1"/>
  <c r="L8" i="4"/>
  <c r="K8" i="4"/>
  <c r="J8" i="4"/>
  <c r="I8" i="4"/>
  <c r="H8" i="4"/>
  <c r="G8" i="4"/>
  <c r="F8" i="4"/>
  <c r="E8" i="4"/>
  <c r="D8" i="4"/>
  <c r="C8" i="4"/>
  <c r="L95" i="1" l="1"/>
  <c r="K95" i="1"/>
  <c r="J95" i="1"/>
  <c r="I95" i="1"/>
  <c r="H95" i="1"/>
  <c r="G95" i="1"/>
  <c r="F95" i="1"/>
  <c r="E95" i="1"/>
  <c r="D95" i="1"/>
  <c r="C95" i="1"/>
  <c r="L94" i="1"/>
  <c r="K94" i="1"/>
  <c r="J94" i="1"/>
  <c r="I94" i="1"/>
  <c r="H94" i="1"/>
  <c r="G94" i="1"/>
  <c r="F94" i="1"/>
  <c r="E94" i="1"/>
  <c r="D94" i="1"/>
  <c r="C94" i="1"/>
  <c r="L93" i="1"/>
  <c r="K93" i="1"/>
  <c r="J93" i="1"/>
  <c r="I93" i="1"/>
  <c r="H93" i="1"/>
  <c r="G93" i="1"/>
  <c r="F93" i="1"/>
  <c r="E93" i="1"/>
  <c r="D93" i="1"/>
  <c r="C93" i="1"/>
  <c r="L92" i="1"/>
  <c r="K92" i="1"/>
  <c r="J92" i="1"/>
  <c r="I92" i="1"/>
  <c r="H92" i="1"/>
  <c r="G92" i="1"/>
  <c r="F92" i="1"/>
  <c r="E92" i="1"/>
  <c r="D92" i="1"/>
  <c r="C92" i="1"/>
  <c r="L91" i="1"/>
  <c r="K91" i="1"/>
  <c r="J91" i="1"/>
  <c r="I91" i="1"/>
  <c r="H91" i="1"/>
  <c r="G91" i="1"/>
  <c r="F91" i="1"/>
  <c r="E91" i="1"/>
  <c r="D91" i="1"/>
  <c r="C91" i="1"/>
  <c r="L90" i="1"/>
  <c r="K90" i="1"/>
  <c r="J90" i="1"/>
  <c r="I90" i="1"/>
  <c r="H90" i="1"/>
  <c r="G90" i="1"/>
  <c r="F90" i="1"/>
  <c r="E90" i="1"/>
  <c r="D90" i="1"/>
  <c r="C90" i="1"/>
  <c r="L89" i="1"/>
  <c r="K89" i="1"/>
  <c r="J89" i="1"/>
  <c r="I89" i="1"/>
  <c r="H89" i="1"/>
  <c r="G89" i="1"/>
  <c r="F89" i="1"/>
  <c r="E89" i="1"/>
  <c r="D89" i="1"/>
  <c r="C89" i="1"/>
  <c r="L88" i="1"/>
  <c r="L96" i="1" s="1"/>
  <c r="K88" i="1"/>
  <c r="K96" i="1" s="1"/>
  <c r="J88" i="1"/>
  <c r="J96" i="1" s="1"/>
  <c r="I88" i="1"/>
  <c r="I96" i="1" s="1"/>
  <c r="H88" i="1"/>
  <c r="H96" i="1" s="1"/>
  <c r="G88" i="1"/>
  <c r="F88" i="1"/>
  <c r="F96" i="1" s="1"/>
  <c r="E88" i="1"/>
  <c r="D88" i="1"/>
  <c r="D96" i="1" s="1"/>
  <c r="C88" i="1"/>
  <c r="C96" i="1" s="1"/>
  <c r="L116" i="1"/>
  <c r="K116" i="1"/>
  <c r="J116" i="1"/>
  <c r="I116" i="1"/>
  <c r="H116" i="1"/>
  <c r="G116" i="1"/>
  <c r="F116" i="1"/>
  <c r="E116" i="1"/>
  <c r="D116" i="1"/>
  <c r="C116" i="1"/>
  <c r="L115" i="1"/>
  <c r="K115" i="1"/>
  <c r="J115" i="1"/>
  <c r="I115" i="1"/>
  <c r="H115" i="1"/>
  <c r="G115" i="1"/>
  <c r="F115" i="1"/>
  <c r="E115" i="1"/>
  <c r="D115" i="1"/>
  <c r="C115" i="1"/>
  <c r="L114" i="1"/>
  <c r="K114" i="1"/>
  <c r="J114" i="1"/>
  <c r="I114" i="1"/>
  <c r="H114" i="1"/>
  <c r="G114" i="1"/>
  <c r="F114" i="1"/>
  <c r="E114" i="1"/>
  <c r="D114" i="1"/>
  <c r="C114" i="1"/>
  <c r="L113" i="1"/>
  <c r="K113" i="1"/>
  <c r="J113" i="1"/>
  <c r="I113" i="1"/>
  <c r="H113" i="1"/>
  <c r="G113" i="1"/>
  <c r="F113" i="1"/>
  <c r="E113" i="1"/>
  <c r="D113" i="1"/>
  <c r="C113" i="1"/>
  <c r="L112" i="1"/>
  <c r="K112" i="1"/>
  <c r="J112" i="1"/>
  <c r="I112" i="1"/>
  <c r="H112" i="1"/>
  <c r="G112" i="1"/>
  <c r="F112" i="1"/>
  <c r="E112" i="1"/>
  <c r="D112" i="1"/>
  <c r="C112" i="1"/>
  <c r="L111" i="1"/>
  <c r="K111" i="1"/>
  <c r="J111" i="1"/>
  <c r="I111" i="1"/>
  <c r="H111" i="1"/>
  <c r="G111" i="1"/>
  <c r="F111" i="1"/>
  <c r="E111" i="1"/>
  <c r="D111" i="1"/>
  <c r="C111" i="1"/>
  <c r="L110" i="1"/>
  <c r="K110" i="1"/>
  <c r="J110" i="1"/>
  <c r="I110" i="1"/>
  <c r="H110" i="1"/>
  <c r="G110" i="1"/>
  <c r="F110" i="1"/>
  <c r="E110" i="1"/>
  <c r="D110" i="1"/>
  <c r="C110" i="1"/>
  <c r="L106" i="1"/>
  <c r="K106" i="1"/>
  <c r="J106" i="1"/>
  <c r="I106" i="1"/>
  <c r="H106" i="1"/>
  <c r="G106" i="1"/>
  <c r="F106" i="1"/>
  <c r="E106" i="1"/>
  <c r="D106" i="1"/>
  <c r="C106" i="1"/>
  <c r="L105" i="1"/>
  <c r="K105" i="1"/>
  <c r="J105" i="1"/>
  <c r="I105" i="1"/>
  <c r="H105" i="1"/>
  <c r="G105" i="1"/>
  <c r="F105" i="1"/>
  <c r="E105" i="1"/>
  <c r="D105" i="1"/>
  <c r="C105" i="1"/>
  <c r="L104" i="1"/>
  <c r="K104" i="1"/>
  <c r="J104" i="1"/>
  <c r="I104" i="1"/>
  <c r="H104" i="1"/>
  <c r="G104" i="1"/>
  <c r="F104" i="1"/>
  <c r="E104" i="1"/>
  <c r="D104" i="1"/>
  <c r="C104" i="1"/>
  <c r="L103" i="1"/>
  <c r="K103" i="1"/>
  <c r="J103" i="1"/>
  <c r="I103" i="1"/>
  <c r="H103" i="1"/>
  <c r="G103" i="1"/>
  <c r="F103" i="1"/>
  <c r="E103" i="1"/>
  <c r="D103" i="1"/>
  <c r="C103" i="1"/>
  <c r="L102" i="1"/>
  <c r="K102" i="1"/>
  <c r="J102" i="1"/>
  <c r="I102" i="1"/>
  <c r="H102" i="1"/>
  <c r="G102" i="1"/>
  <c r="F102" i="1"/>
  <c r="E102" i="1"/>
  <c r="D102" i="1"/>
  <c r="C102" i="1"/>
  <c r="L101" i="1"/>
  <c r="K101" i="1"/>
  <c r="J101" i="1"/>
  <c r="I101" i="1"/>
  <c r="H101" i="1"/>
  <c r="G101" i="1"/>
  <c r="F101" i="1"/>
  <c r="E101" i="1"/>
  <c r="D101" i="1"/>
  <c r="C101" i="1"/>
  <c r="L100" i="1"/>
  <c r="K100" i="1"/>
  <c r="J100" i="1"/>
  <c r="I100" i="1"/>
  <c r="H100" i="1"/>
  <c r="G100" i="1"/>
  <c r="F100" i="1"/>
  <c r="E100" i="1"/>
  <c r="D100" i="1"/>
  <c r="C100" i="1"/>
  <c r="L99" i="1"/>
  <c r="K99" i="1"/>
  <c r="J99" i="1"/>
  <c r="I99" i="1"/>
  <c r="H99" i="1"/>
  <c r="G99" i="1"/>
  <c r="F99" i="1"/>
  <c r="E99" i="1"/>
  <c r="D99" i="1"/>
  <c r="C99" i="1"/>
  <c r="L72" i="1"/>
  <c r="K72" i="1"/>
  <c r="J72" i="1"/>
  <c r="I72" i="1"/>
  <c r="H72" i="1"/>
  <c r="G72" i="1"/>
  <c r="F72" i="1"/>
  <c r="E72" i="1"/>
  <c r="D72" i="1"/>
  <c r="L77" i="1"/>
  <c r="K77" i="1"/>
  <c r="J77" i="1"/>
  <c r="I77" i="1"/>
  <c r="H77" i="1"/>
  <c r="G77" i="1"/>
  <c r="F77" i="1"/>
  <c r="E77" i="1"/>
  <c r="D77" i="1"/>
  <c r="L76" i="1"/>
  <c r="K76" i="1"/>
  <c r="J76" i="1"/>
  <c r="I76" i="1"/>
  <c r="H76" i="1"/>
  <c r="G76" i="1"/>
  <c r="F76" i="1"/>
  <c r="E76" i="1"/>
  <c r="D76" i="1"/>
  <c r="L75" i="1"/>
  <c r="K75" i="1"/>
  <c r="J75" i="1"/>
  <c r="I75" i="1"/>
  <c r="H75" i="1"/>
  <c r="G75" i="1"/>
  <c r="F75" i="1"/>
  <c r="E75" i="1"/>
  <c r="D75" i="1"/>
  <c r="C77" i="1"/>
  <c r="C76" i="1"/>
  <c r="C75" i="1"/>
  <c r="C72" i="1"/>
  <c r="L71" i="1"/>
  <c r="K71" i="1"/>
  <c r="J71" i="1"/>
  <c r="I71" i="1"/>
  <c r="H71" i="1"/>
  <c r="G71" i="1"/>
  <c r="F71" i="1"/>
  <c r="E71" i="1"/>
  <c r="D71" i="1"/>
  <c r="L70" i="1"/>
  <c r="K70" i="1"/>
  <c r="J70" i="1"/>
  <c r="I70" i="1"/>
  <c r="H70" i="1"/>
  <c r="G70" i="1"/>
  <c r="F70" i="1"/>
  <c r="E70" i="1"/>
  <c r="D70" i="1"/>
  <c r="L69" i="1"/>
  <c r="K69" i="1"/>
  <c r="J69" i="1"/>
  <c r="I69" i="1"/>
  <c r="H69" i="1"/>
  <c r="G69" i="1"/>
  <c r="F69" i="1"/>
  <c r="E69" i="1"/>
  <c r="D69" i="1"/>
  <c r="C71" i="1"/>
  <c r="C70" i="1"/>
  <c r="C69" i="1"/>
  <c r="L67" i="1"/>
  <c r="K67" i="1"/>
  <c r="J67" i="1"/>
  <c r="I67" i="1"/>
  <c r="H67" i="1"/>
  <c r="G67" i="1"/>
  <c r="F67" i="1"/>
  <c r="E67" i="1"/>
  <c r="D67" i="1"/>
  <c r="L66" i="1"/>
  <c r="K66" i="1"/>
  <c r="J66" i="1"/>
  <c r="I66" i="1"/>
  <c r="H66" i="1"/>
  <c r="G66" i="1"/>
  <c r="F66" i="1"/>
  <c r="E66" i="1"/>
  <c r="D66" i="1"/>
  <c r="L65" i="1"/>
  <c r="K65" i="1"/>
  <c r="J65" i="1"/>
  <c r="I65" i="1"/>
  <c r="H65" i="1"/>
  <c r="G65" i="1"/>
  <c r="F65" i="1"/>
  <c r="E65" i="1"/>
  <c r="D65" i="1"/>
  <c r="L64" i="1"/>
  <c r="K64" i="1"/>
  <c r="J64" i="1"/>
  <c r="I64" i="1"/>
  <c r="H64" i="1"/>
  <c r="G64" i="1"/>
  <c r="F64" i="1"/>
  <c r="E64" i="1"/>
  <c r="D64" i="1"/>
  <c r="L63" i="1"/>
  <c r="K63" i="1"/>
  <c r="J63" i="1"/>
  <c r="I63" i="1"/>
  <c r="H63" i="1"/>
  <c r="G63" i="1"/>
  <c r="F63" i="1"/>
  <c r="E63" i="1"/>
  <c r="D63" i="1"/>
  <c r="C67" i="1"/>
  <c r="C66" i="1"/>
  <c r="C65" i="1"/>
  <c r="C64" i="1"/>
  <c r="C63" i="1"/>
  <c r="L26" i="1"/>
  <c r="K26" i="1"/>
  <c r="J26" i="1"/>
  <c r="I26" i="1"/>
  <c r="H26" i="1"/>
  <c r="G26" i="1"/>
  <c r="F26" i="1"/>
  <c r="E26" i="1"/>
  <c r="D26" i="1"/>
  <c r="C26" i="1"/>
  <c r="L21" i="1"/>
  <c r="K21" i="1"/>
  <c r="J21" i="1"/>
  <c r="I21" i="1"/>
  <c r="H21" i="1"/>
  <c r="G21" i="1"/>
  <c r="F21" i="1"/>
  <c r="E21" i="1"/>
  <c r="D21" i="1"/>
  <c r="C21" i="1"/>
  <c r="C47" i="1"/>
  <c r="C53" i="1" s="1"/>
  <c r="D47" i="1"/>
  <c r="D53" i="1" s="1"/>
  <c r="D14" i="4" s="1"/>
  <c r="E47" i="1"/>
  <c r="E53" i="1" s="1"/>
  <c r="F47" i="1"/>
  <c r="F53" i="1" s="1"/>
  <c r="G47" i="1"/>
  <c r="G53" i="1" s="1"/>
  <c r="H47" i="1"/>
  <c r="H53" i="1" s="1"/>
  <c r="H14" i="4" s="1"/>
  <c r="I47" i="1"/>
  <c r="I53" i="1" s="1"/>
  <c r="J47" i="1"/>
  <c r="J53" i="1" s="1"/>
  <c r="K47" i="1"/>
  <c r="K53" i="1" s="1"/>
  <c r="L47" i="1"/>
  <c r="L53" i="1" s="1"/>
  <c r="L14" i="4" s="1"/>
  <c r="L41" i="1"/>
  <c r="K41" i="1"/>
  <c r="J41" i="1"/>
  <c r="I41" i="1"/>
  <c r="H41" i="1"/>
  <c r="G41" i="1"/>
  <c r="F41" i="1"/>
  <c r="E41" i="1"/>
  <c r="D41" i="1"/>
  <c r="C41" i="1"/>
  <c r="L28" i="1"/>
  <c r="F19" i="22" s="1"/>
  <c r="K28" i="1"/>
  <c r="J28" i="1"/>
  <c r="I28" i="1"/>
  <c r="H28" i="1"/>
  <c r="G28" i="1"/>
  <c r="F28" i="1"/>
  <c r="E28" i="1"/>
  <c r="D28" i="1"/>
  <c r="C28" i="1"/>
  <c r="L33" i="1"/>
  <c r="K33" i="1"/>
  <c r="J33" i="1"/>
  <c r="I33" i="1"/>
  <c r="H33" i="1"/>
  <c r="G33" i="1"/>
  <c r="F33" i="1"/>
  <c r="E33" i="1"/>
  <c r="D33" i="1"/>
  <c r="C33" i="1"/>
  <c r="L18" i="1"/>
  <c r="F14" i="22" s="1"/>
  <c r="K18" i="1"/>
  <c r="J18" i="1"/>
  <c r="I18" i="1"/>
  <c r="H18" i="1"/>
  <c r="G18" i="1"/>
  <c r="F18" i="1"/>
  <c r="E18" i="1"/>
  <c r="D18" i="1"/>
  <c r="C18" i="1"/>
  <c r="L13" i="1"/>
  <c r="K13" i="1"/>
  <c r="J13" i="1"/>
  <c r="I13" i="1"/>
  <c r="H13" i="1"/>
  <c r="G13" i="1"/>
  <c r="F13" i="1"/>
  <c r="E13" i="1"/>
  <c r="D13" i="1"/>
  <c r="C13" i="1"/>
  <c r="E96" i="1" l="1"/>
  <c r="J117" i="1"/>
  <c r="I117" i="1"/>
  <c r="F117" i="1"/>
  <c r="E117" i="1"/>
  <c r="L107" i="1"/>
  <c r="K107" i="1"/>
  <c r="H107" i="1"/>
  <c r="G107" i="1"/>
  <c r="D107" i="1"/>
  <c r="C107" i="1"/>
  <c r="G96" i="1"/>
  <c r="J14" i="4"/>
  <c r="G73" i="1"/>
  <c r="K73" i="1"/>
  <c r="D78" i="1"/>
  <c r="H78" i="1"/>
  <c r="L78" i="1"/>
  <c r="E14" i="4"/>
  <c r="D73" i="1"/>
  <c r="H73" i="1"/>
  <c r="L73" i="1"/>
  <c r="E78" i="1"/>
  <c r="I78" i="1"/>
  <c r="F107" i="1"/>
  <c r="J107" i="1"/>
  <c r="D117" i="1"/>
  <c r="H117" i="1"/>
  <c r="L117" i="1"/>
  <c r="C78" i="1"/>
  <c r="C73" i="1"/>
  <c r="C80" i="1" s="1"/>
  <c r="C47" i="4" s="1"/>
  <c r="F78" i="1"/>
  <c r="J78" i="1"/>
  <c r="E107" i="1"/>
  <c r="I107" i="1"/>
  <c r="C117" i="1"/>
  <c r="G117" i="1"/>
  <c r="K117" i="1"/>
  <c r="G78" i="1"/>
  <c r="K78" i="1"/>
  <c r="F14" i="4"/>
  <c r="K14" i="4"/>
  <c r="G14" i="4"/>
  <c r="K48" i="4"/>
  <c r="E73" i="1"/>
  <c r="I73" i="1"/>
  <c r="F48" i="4"/>
  <c r="L48" i="4"/>
  <c r="I14" i="4"/>
  <c r="F73" i="1"/>
  <c r="J73" i="1"/>
  <c r="C48" i="4"/>
  <c r="I48" i="4"/>
  <c r="D48" i="4"/>
  <c r="H48" i="4"/>
  <c r="J48" i="4"/>
  <c r="L11" i="1"/>
  <c r="F11" i="22" s="1"/>
  <c r="K11" i="1"/>
  <c r="J11" i="1"/>
  <c r="J46" i="4" s="1"/>
  <c r="I11" i="1"/>
  <c r="I46" i="4" s="1"/>
  <c r="H11" i="1"/>
  <c r="H46" i="4" s="1"/>
  <c r="G11" i="1"/>
  <c r="F11" i="1"/>
  <c r="E11" i="1"/>
  <c r="D11" i="1"/>
  <c r="C11" i="1"/>
  <c r="C34" i="4" s="1"/>
  <c r="L8" i="1"/>
  <c r="K8" i="1"/>
  <c r="J8" i="1"/>
  <c r="I8" i="1"/>
  <c r="H8" i="1"/>
  <c r="G8" i="1"/>
  <c r="F8" i="1"/>
  <c r="E8" i="1"/>
  <c r="D8" i="1"/>
  <c r="C8" i="1"/>
  <c r="B7" i="1"/>
  <c r="B6" i="2"/>
  <c r="E1" i="2"/>
  <c r="F13" i="22" l="1"/>
  <c r="F16" i="22" s="1"/>
  <c r="F15" i="22"/>
  <c r="G11" i="22"/>
  <c r="G22" i="22" s="1"/>
  <c r="D120" i="1"/>
  <c r="J120" i="1"/>
  <c r="L120" i="1"/>
  <c r="K120" i="1"/>
  <c r="C120" i="1"/>
  <c r="D80" i="1"/>
  <c r="H80" i="1"/>
  <c r="L80" i="1"/>
  <c r="L83" i="1" s="1"/>
  <c r="F120" i="1"/>
  <c r="H120" i="1"/>
  <c r="I120" i="1"/>
  <c r="G80" i="1"/>
  <c r="K80" i="1"/>
  <c r="E80" i="1"/>
  <c r="N14" i="4"/>
  <c r="F80" i="1"/>
  <c r="G46" i="4"/>
  <c r="E48" i="4"/>
  <c r="E120" i="1"/>
  <c r="G48" i="4"/>
  <c r="G120" i="1"/>
  <c r="D46" i="4"/>
  <c r="D16" i="1"/>
  <c r="D14" i="1"/>
  <c r="H82" i="1"/>
  <c r="H47" i="4"/>
  <c r="H83" i="1"/>
  <c r="D83" i="1"/>
  <c r="D82" i="1"/>
  <c r="D47" i="4"/>
  <c r="I80" i="1"/>
  <c r="J80" i="1"/>
  <c r="J47" i="4" s="1"/>
  <c r="L82" i="1"/>
  <c r="L47" i="4"/>
  <c r="K82" i="1"/>
  <c r="K47" i="4"/>
  <c r="K83" i="1"/>
  <c r="G47" i="4"/>
  <c r="G83" i="1"/>
  <c r="G82" i="1"/>
  <c r="F14" i="1"/>
  <c r="F33" i="4"/>
  <c r="F40" i="4" s="1"/>
  <c r="F37" i="4"/>
  <c r="F36" i="4"/>
  <c r="F35" i="4"/>
  <c r="F42" i="4" s="1"/>
  <c r="F34" i="4"/>
  <c r="F41" i="4" s="1"/>
  <c r="F43" i="4" s="1"/>
  <c r="J83" i="1"/>
  <c r="J82" i="1"/>
  <c r="C35" i="4"/>
  <c r="C33" i="4"/>
  <c r="C37" i="4"/>
  <c r="C36" i="4"/>
  <c r="G16" i="1"/>
  <c r="G16" i="4" s="1"/>
  <c r="G37" i="4"/>
  <c r="G36" i="4"/>
  <c r="G35" i="4"/>
  <c r="G42" i="4" s="1"/>
  <c r="G34" i="4"/>
  <c r="G41" i="4" s="1"/>
  <c r="G33" i="4"/>
  <c r="G40" i="4" s="1"/>
  <c r="K16" i="1"/>
  <c r="K37" i="4"/>
  <c r="K33" i="4"/>
  <c r="K40" i="4" s="1"/>
  <c r="K36" i="4"/>
  <c r="K35" i="4"/>
  <c r="K42" i="4" s="1"/>
  <c r="K34" i="4"/>
  <c r="K41" i="4" s="1"/>
  <c r="K12" i="1"/>
  <c r="K10" i="4" s="1"/>
  <c r="D33" i="4"/>
  <c r="D40" i="4" s="1"/>
  <c r="D36" i="4"/>
  <c r="D35" i="4"/>
  <c r="D42" i="4" s="1"/>
  <c r="D34" i="4"/>
  <c r="D41" i="4" s="1"/>
  <c r="D37" i="4"/>
  <c r="H14" i="1"/>
  <c r="H36" i="4"/>
  <c r="H35" i="4"/>
  <c r="H42" i="4" s="1"/>
  <c r="H34" i="4"/>
  <c r="H41" i="4" s="1"/>
  <c r="H33" i="4"/>
  <c r="H40" i="4" s="1"/>
  <c r="H37" i="4"/>
  <c r="L36" i="4"/>
  <c r="L35" i="4"/>
  <c r="L42" i="4" s="1"/>
  <c r="L34" i="4"/>
  <c r="L41" i="4" s="1"/>
  <c r="L33" i="4"/>
  <c r="L40" i="4" s="1"/>
  <c r="L37" i="4"/>
  <c r="C46" i="4"/>
  <c r="I16" i="1"/>
  <c r="I35" i="4"/>
  <c r="I42" i="4" s="1"/>
  <c r="I34" i="4"/>
  <c r="I41" i="4" s="1"/>
  <c r="I33" i="4"/>
  <c r="I40" i="4" s="1"/>
  <c r="I37" i="4"/>
  <c r="I36" i="4"/>
  <c r="K46" i="4"/>
  <c r="C83" i="1"/>
  <c r="C82" i="1"/>
  <c r="E35" i="4"/>
  <c r="E42" i="4" s="1"/>
  <c r="E34" i="4"/>
  <c r="E41" i="4" s="1"/>
  <c r="E33" i="4"/>
  <c r="E40" i="4" s="1"/>
  <c r="E37" i="4"/>
  <c r="E36" i="4"/>
  <c r="J16" i="1"/>
  <c r="J33" i="4"/>
  <c r="J40" i="4" s="1"/>
  <c r="J37" i="4"/>
  <c r="J36" i="4"/>
  <c r="J35" i="4"/>
  <c r="J42" i="4" s="1"/>
  <c r="J34" i="4"/>
  <c r="J41" i="4" s="1"/>
  <c r="L46" i="4"/>
  <c r="F46" i="4"/>
  <c r="E46" i="4"/>
  <c r="G23" i="1"/>
  <c r="G24" i="1" s="1"/>
  <c r="G17" i="4" s="1"/>
  <c r="G14" i="1"/>
  <c r="E12" i="1"/>
  <c r="E10" i="4" s="1"/>
  <c r="E16" i="1"/>
  <c r="F12" i="1"/>
  <c r="F10" i="4" s="1"/>
  <c r="F16" i="1"/>
  <c r="J14" i="1"/>
  <c r="K14" i="1"/>
  <c r="D19" i="1"/>
  <c r="D22" i="4" s="1"/>
  <c r="D34" i="1"/>
  <c r="D29" i="1"/>
  <c r="D23" i="4" s="1"/>
  <c r="L19" i="1"/>
  <c r="L22" i="4" s="1"/>
  <c r="L34" i="1"/>
  <c r="L29" i="1"/>
  <c r="L23" i="4" s="1"/>
  <c r="H12" i="1"/>
  <c r="H10" i="4" s="1"/>
  <c r="I19" i="1"/>
  <c r="I22" i="4" s="1"/>
  <c r="I29" i="1"/>
  <c r="I23" i="4" s="1"/>
  <c r="I34" i="1"/>
  <c r="I12" i="1"/>
  <c r="I10" i="4" s="1"/>
  <c r="J29" i="1"/>
  <c r="J23" i="4" s="1"/>
  <c r="J34" i="1"/>
  <c r="J19" i="1"/>
  <c r="J22" i="4" s="1"/>
  <c r="J12" i="1"/>
  <c r="J10" i="4" s="1"/>
  <c r="L14" i="1"/>
  <c r="H19" i="1"/>
  <c r="H22" i="4" s="1"/>
  <c r="H34" i="1"/>
  <c r="H29" i="1"/>
  <c r="H23" i="4" s="1"/>
  <c r="L12" i="1"/>
  <c r="L10" i="4" s="1"/>
  <c r="E19" i="1"/>
  <c r="E22" i="4" s="1"/>
  <c r="E34" i="1"/>
  <c r="E29" i="1"/>
  <c r="E23" i="4" s="1"/>
  <c r="D12" i="1"/>
  <c r="F29" i="1"/>
  <c r="F23" i="4" s="1"/>
  <c r="F34" i="1"/>
  <c r="F19" i="1"/>
  <c r="F22" i="4" s="1"/>
  <c r="C34" i="1"/>
  <c r="C16" i="1"/>
  <c r="C29" i="1"/>
  <c r="C23" i="4" s="1"/>
  <c r="C14" i="1"/>
  <c r="C19" i="1"/>
  <c r="C22" i="4" s="1"/>
  <c r="G34" i="1"/>
  <c r="G29" i="1"/>
  <c r="G23" i="4" s="1"/>
  <c r="G19" i="1"/>
  <c r="G22" i="4" s="1"/>
  <c r="K34" i="1"/>
  <c r="K29" i="1"/>
  <c r="K23" i="4" s="1"/>
  <c r="K19" i="1"/>
  <c r="K22" i="4" s="1"/>
  <c r="G12" i="1"/>
  <c r="G10" i="4" s="1"/>
  <c r="E14" i="1"/>
  <c r="I14" i="1"/>
  <c r="H16" i="1"/>
  <c r="L16" i="1"/>
  <c r="G20" i="22" l="1"/>
  <c r="G23" i="22" s="1"/>
  <c r="G12" i="22"/>
  <c r="G13" i="22" s="1"/>
  <c r="G19" i="22"/>
  <c r="H11" i="22"/>
  <c r="H22" i="22" s="1"/>
  <c r="G14" i="22"/>
  <c r="N48" i="4"/>
  <c r="E47" i="4"/>
  <c r="E83" i="1"/>
  <c r="E82" i="1"/>
  <c r="O48" i="4"/>
  <c r="F83" i="1"/>
  <c r="F82" i="1"/>
  <c r="F47" i="4"/>
  <c r="I47" i="4"/>
  <c r="I83" i="1"/>
  <c r="D10" i="4"/>
  <c r="N47" i="4"/>
  <c r="I82" i="1"/>
  <c r="J43" i="4"/>
  <c r="O47" i="4"/>
  <c r="N23" i="4"/>
  <c r="O23" i="4"/>
  <c r="F23" i="1"/>
  <c r="F16" i="4"/>
  <c r="J23" i="1"/>
  <c r="J16" i="4"/>
  <c r="E43" i="4"/>
  <c r="I43" i="4"/>
  <c r="L43" i="4"/>
  <c r="N37" i="4"/>
  <c r="O37" i="4"/>
  <c r="C23" i="1"/>
  <c r="C16" i="4"/>
  <c r="N46" i="4"/>
  <c r="O46" i="4"/>
  <c r="H43" i="4"/>
  <c r="G43" i="4"/>
  <c r="C40" i="4"/>
  <c r="N33" i="4"/>
  <c r="O33" i="4"/>
  <c r="K23" i="1"/>
  <c r="K16" i="4"/>
  <c r="N36" i="4"/>
  <c r="O36" i="4"/>
  <c r="D23" i="1"/>
  <c r="D24" i="1" s="1"/>
  <c r="D17" i="4" s="1"/>
  <c r="D16" i="4"/>
  <c r="L23" i="1"/>
  <c r="L24" i="1" s="1"/>
  <c r="L17" i="4" s="1"/>
  <c r="L16" i="4"/>
  <c r="O22" i="4"/>
  <c r="N22" i="4"/>
  <c r="E23" i="1"/>
  <c r="E16" i="4"/>
  <c r="I23" i="1"/>
  <c r="I16" i="4"/>
  <c r="D43" i="4"/>
  <c r="K43" i="4"/>
  <c r="C41" i="4"/>
  <c r="O34" i="4"/>
  <c r="N34" i="4"/>
  <c r="C42" i="4"/>
  <c r="O35" i="4"/>
  <c r="N35" i="4"/>
  <c r="H23" i="1"/>
  <c r="H24" i="1" s="1"/>
  <c r="H17" i="4" s="1"/>
  <c r="H16" i="4"/>
  <c r="G31" i="1"/>
  <c r="G16" i="22" l="1"/>
  <c r="G18" i="22" s="1"/>
  <c r="G24" i="22" s="1"/>
  <c r="G26" i="22" s="1"/>
  <c r="H20" i="22"/>
  <c r="H23" i="22" s="1"/>
  <c r="H19" i="22"/>
  <c r="H12" i="22"/>
  <c r="H13" i="22" s="1"/>
  <c r="H14" i="22"/>
  <c r="H15" i="22" s="1"/>
  <c r="I11" i="22"/>
  <c r="I22" i="22" s="1"/>
  <c r="G15" i="22"/>
  <c r="N10" i="4"/>
  <c r="O10" i="4"/>
  <c r="C43" i="4"/>
  <c r="G11" i="4"/>
  <c r="F24" i="1"/>
  <c r="F17" i="4" s="1"/>
  <c r="H31" i="1"/>
  <c r="H11" i="4"/>
  <c r="E31" i="1"/>
  <c r="E11" i="4"/>
  <c r="D31" i="1"/>
  <c r="D11" i="4"/>
  <c r="J31" i="1"/>
  <c r="J11" i="4"/>
  <c r="J24" i="1"/>
  <c r="J17" i="4" s="1"/>
  <c r="C31" i="1"/>
  <c r="C24" i="1"/>
  <c r="C17" i="4" s="1"/>
  <c r="N42" i="4"/>
  <c r="O42" i="4"/>
  <c r="O40" i="4"/>
  <c r="N40" i="4"/>
  <c r="K31" i="1"/>
  <c r="K11" i="4"/>
  <c r="K24" i="1"/>
  <c r="K17" i="4" s="1"/>
  <c r="O16" i="4"/>
  <c r="N16" i="4"/>
  <c r="E24" i="1"/>
  <c r="E17" i="4" s="1"/>
  <c r="G37" i="1"/>
  <c r="G26" i="4"/>
  <c r="G30" i="4"/>
  <c r="G18" i="4"/>
  <c r="G24" i="4" s="1"/>
  <c r="N41" i="4"/>
  <c r="O41" i="4"/>
  <c r="I31" i="1"/>
  <c r="I11" i="4"/>
  <c r="I24" i="1"/>
  <c r="I17" i="4" s="1"/>
  <c r="L31" i="1"/>
  <c r="F18" i="22" s="1"/>
  <c r="F24" i="22" s="1"/>
  <c r="F26" i="22" s="1"/>
  <c r="L11" i="4"/>
  <c r="F31" i="1"/>
  <c r="G12" i="4" s="1"/>
  <c r="F11" i="4"/>
  <c r="H16" i="22" l="1"/>
  <c r="H18" i="22" s="1"/>
  <c r="H24" i="22" s="1"/>
  <c r="H26" i="22" s="1"/>
  <c r="I20" i="22"/>
  <c r="I23" i="22" s="1"/>
  <c r="I12" i="22"/>
  <c r="I13" i="22" s="1"/>
  <c r="I19" i="22"/>
  <c r="I14" i="22"/>
  <c r="I15" i="22" s="1"/>
  <c r="J11" i="22"/>
  <c r="J22" i="22" s="1"/>
  <c r="I37" i="1"/>
  <c r="I30" i="4"/>
  <c r="I26" i="4"/>
  <c r="I18" i="4"/>
  <c r="I24" i="4" s="1"/>
  <c r="I12" i="4"/>
  <c r="G42" i="1"/>
  <c r="G38" i="1"/>
  <c r="G44" i="1"/>
  <c r="L37" i="1"/>
  <c r="L30" i="4"/>
  <c r="L26" i="4"/>
  <c r="L18" i="4"/>
  <c r="L24" i="4" s="1"/>
  <c r="L12" i="4"/>
  <c r="K37" i="1"/>
  <c r="K26" i="4"/>
  <c r="K30" i="4"/>
  <c r="K18" i="4"/>
  <c r="K24" i="4" s="1"/>
  <c r="K12" i="4"/>
  <c r="F37" i="1"/>
  <c r="F26" i="4"/>
  <c r="F30" i="4"/>
  <c r="F18" i="4"/>
  <c r="F24" i="4" s="1"/>
  <c r="F12" i="4"/>
  <c r="O43" i="4"/>
  <c r="N43" i="4"/>
  <c r="O17" i="4"/>
  <c r="N17" i="4"/>
  <c r="J37" i="1"/>
  <c r="J30" i="4"/>
  <c r="J26" i="4"/>
  <c r="J18" i="4"/>
  <c r="J24" i="4" s="1"/>
  <c r="J12" i="4"/>
  <c r="E37" i="1"/>
  <c r="E30" i="4"/>
  <c r="E26" i="4"/>
  <c r="E18" i="4"/>
  <c r="E24" i="4" s="1"/>
  <c r="E12" i="4"/>
  <c r="C37" i="1"/>
  <c r="C42" i="1" s="1"/>
  <c r="C26" i="4"/>
  <c r="C30" i="4"/>
  <c r="C18" i="4"/>
  <c r="N11" i="4"/>
  <c r="O11" i="4"/>
  <c r="D37" i="1"/>
  <c r="D30" i="4"/>
  <c r="D26" i="4"/>
  <c r="D12" i="4"/>
  <c r="D18" i="4"/>
  <c r="D24" i="4" s="1"/>
  <c r="H37" i="1"/>
  <c r="H26" i="4"/>
  <c r="H30" i="4"/>
  <c r="H18" i="4"/>
  <c r="H24" i="4" s="1"/>
  <c r="H12" i="4"/>
  <c r="G19" i="4" l="1"/>
  <c r="I16" i="22"/>
  <c r="I18" i="22" s="1"/>
  <c r="I24" i="22" s="1"/>
  <c r="I26" i="22" s="1"/>
  <c r="J20" i="22"/>
  <c r="J23" i="22" s="1"/>
  <c r="J19" i="22"/>
  <c r="J12" i="22"/>
  <c r="J13" i="22" s="1"/>
  <c r="J14" i="22"/>
  <c r="J15" i="22" s="1"/>
  <c r="K11" i="22"/>
  <c r="K22" i="22" s="1"/>
  <c r="F38" i="1"/>
  <c r="F19" i="4" s="1"/>
  <c r="F42" i="1"/>
  <c r="O26" i="4"/>
  <c r="N26" i="4"/>
  <c r="D44" i="1"/>
  <c r="D38" i="1"/>
  <c r="D19" i="4" s="1"/>
  <c r="D42" i="1"/>
  <c r="N30" i="4"/>
  <c r="O30" i="4"/>
  <c r="J38" i="1"/>
  <c r="J19" i="4" s="1"/>
  <c r="J44" i="1"/>
  <c r="J42" i="1"/>
  <c r="G49" i="1"/>
  <c r="G28" i="4"/>
  <c r="G45" i="1"/>
  <c r="G20" i="4" s="1"/>
  <c r="C38" i="1"/>
  <c r="C19" i="4" s="1"/>
  <c r="C44" i="1"/>
  <c r="C49" i="1" s="1"/>
  <c r="K44" i="1"/>
  <c r="K42" i="1"/>
  <c r="K38" i="1"/>
  <c r="K19" i="4" s="1"/>
  <c r="N12" i="4"/>
  <c r="O12" i="4"/>
  <c r="F44" i="1"/>
  <c r="H44" i="1"/>
  <c r="H38" i="1"/>
  <c r="H19" i="4" s="1"/>
  <c r="H42" i="1"/>
  <c r="C24" i="4"/>
  <c r="N18" i="4"/>
  <c r="O18" i="4"/>
  <c r="E38" i="1"/>
  <c r="E19" i="4" s="1"/>
  <c r="E44" i="1"/>
  <c r="E42" i="1"/>
  <c r="L38" i="1"/>
  <c r="L19" i="4" s="1"/>
  <c r="L42" i="1"/>
  <c r="L44" i="1"/>
  <c r="I44" i="1"/>
  <c r="I42" i="1"/>
  <c r="I38" i="1"/>
  <c r="I19" i="4" s="1"/>
  <c r="F45" i="1"/>
  <c r="F20" i="4" s="1"/>
  <c r="J16" i="22" l="1"/>
  <c r="J18" i="22" s="1"/>
  <c r="J24" i="22" s="1"/>
  <c r="J26" i="22" s="1"/>
  <c r="K14" i="22"/>
  <c r="K15" i="22" s="1"/>
  <c r="K20" i="22"/>
  <c r="K23" i="22" s="1"/>
  <c r="K19" i="22"/>
  <c r="K12" i="22"/>
  <c r="K13" i="22" s="1"/>
  <c r="C55" i="1"/>
  <c r="C54" i="1"/>
  <c r="C57" i="1"/>
  <c r="I49" i="1"/>
  <c r="I28" i="4"/>
  <c r="I13" i="4"/>
  <c r="I45" i="1"/>
  <c r="I20" i="4" s="1"/>
  <c r="H49" i="1"/>
  <c r="H28" i="4"/>
  <c r="H13" i="4"/>
  <c r="H45" i="1"/>
  <c r="H20" i="4" s="1"/>
  <c r="C28" i="4"/>
  <c r="C45" i="1"/>
  <c r="C20" i="4" s="1"/>
  <c r="L49" i="1"/>
  <c r="L28" i="4"/>
  <c r="L13" i="4"/>
  <c r="L45" i="1"/>
  <c r="L20" i="4" s="1"/>
  <c r="N24" i="4"/>
  <c r="O24" i="4"/>
  <c r="F49" i="1"/>
  <c r="F28" i="4"/>
  <c r="F13" i="4"/>
  <c r="N19" i="4"/>
  <c r="O19" i="4"/>
  <c r="G54" i="1"/>
  <c r="G29" i="4" s="1"/>
  <c r="G55" i="1"/>
  <c r="D49" i="1"/>
  <c r="D28" i="4"/>
  <c r="D13" i="4"/>
  <c r="D45" i="1"/>
  <c r="D20" i="4" s="1"/>
  <c r="K49" i="1"/>
  <c r="K28" i="4"/>
  <c r="K13" i="4"/>
  <c r="K45" i="1"/>
  <c r="K20" i="4" s="1"/>
  <c r="E49" i="1"/>
  <c r="E28" i="4"/>
  <c r="E13" i="4"/>
  <c r="E45" i="1"/>
  <c r="E20" i="4" s="1"/>
  <c r="G13" i="4"/>
  <c r="J49" i="1"/>
  <c r="J28" i="4"/>
  <c r="J13" i="4"/>
  <c r="J45" i="1"/>
  <c r="J20" i="4" s="1"/>
  <c r="K16" i="22" l="1"/>
  <c r="K18" i="22" s="1"/>
  <c r="K24" i="22" s="1"/>
  <c r="K26" i="22" s="1"/>
  <c r="F50" i="1"/>
  <c r="G50" i="1"/>
  <c r="C29" i="4"/>
  <c r="J55" i="1"/>
  <c r="J54" i="1"/>
  <c r="J29" i="4" s="1"/>
  <c r="J50" i="1"/>
  <c r="F54" i="1"/>
  <c r="F29" i="4" s="1"/>
  <c r="F55" i="1"/>
  <c r="E57" i="1"/>
  <c r="E55" i="1"/>
  <c r="E54" i="1"/>
  <c r="E59" i="1" s="1"/>
  <c r="E50" i="1"/>
  <c r="K54" i="1"/>
  <c r="K29" i="4" s="1"/>
  <c r="K55" i="1"/>
  <c r="K50" i="1"/>
  <c r="D54" i="1"/>
  <c r="D59" i="1" s="1"/>
  <c r="D55" i="1"/>
  <c r="D50" i="1"/>
  <c r="O20" i="4"/>
  <c r="N20" i="4"/>
  <c r="L55" i="1"/>
  <c r="L50" i="1"/>
  <c r="L54" i="1"/>
  <c r="L29" i="4" s="1"/>
  <c r="O28" i="4"/>
  <c r="N28" i="4"/>
  <c r="N13" i="4"/>
  <c r="O13" i="4"/>
  <c r="G57" i="1"/>
  <c r="G59" i="1"/>
  <c r="C59" i="1"/>
  <c r="H50" i="1"/>
  <c r="H54" i="1"/>
  <c r="H55" i="1"/>
  <c r="I54" i="1"/>
  <c r="I55" i="1"/>
  <c r="I50" i="1"/>
  <c r="I31" i="22" l="1"/>
  <c r="E31" i="22"/>
  <c r="E35" i="22" s="1"/>
  <c r="E39" i="22" s="1"/>
  <c r="I32" i="22" s="1"/>
  <c r="D57" i="1"/>
  <c r="K57" i="1"/>
  <c r="K59" i="1"/>
  <c r="E27" i="4"/>
  <c r="E31" i="4" s="1"/>
  <c r="E58" i="1"/>
  <c r="I57" i="1"/>
  <c r="I59" i="1"/>
  <c r="I29" i="4"/>
  <c r="F57" i="1"/>
  <c r="F59" i="1"/>
  <c r="J57" i="1"/>
  <c r="J59" i="1"/>
  <c r="H57" i="1"/>
  <c r="H59" i="1"/>
  <c r="G27" i="4"/>
  <c r="G31" i="4" s="1"/>
  <c r="G58" i="1"/>
  <c r="H29" i="4"/>
  <c r="L57" i="1"/>
  <c r="L59" i="1"/>
  <c r="D29" i="4"/>
  <c r="E29" i="4"/>
  <c r="I34" i="22" l="1"/>
  <c r="I39" i="22" s="1"/>
  <c r="I43" i="22" s="1"/>
  <c r="D27" i="4"/>
  <c r="D31" i="4" s="1"/>
  <c r="D58" i="1"/>
  <c r="H58" i="1"/>
  <c r="H27" i="4"/>
  <c r="H31" i="4" s="1"/>
  <c r="F27" i="4"/>
  <c r="F31" i="4" s="1"/>
  <c r="F58" i="1"/>
  <c r="N29" i="4"/>
  <c r="O29" i="4"/>
  <c r="I27" i="4"/>
  <c r="I31" i="4" s="1"/>
  <c r="I58" i="1"/>
  <c r="K27" i="4"/>
  <c r="K31" i="4" s="1"/>
  <c r="K58" i="1"/>
  <c r="J27" i="4"/>
  <c r="J31" i="4" s="1"/>
  <c r="J58" i="1"/>
  <c r="L27" i="4"/>
  <c r="L31" i="4" s="1"/>
  <c r="L58" i="1"/>
  <c r="C27" i="4"/>
  <c r="C31" i="4" s="1"/>
  <c r="C58" i="1"/>
  <c r="I46" i="22" l="1"/>
  <c r="K37" i="22"/>
  <c r="N27" i="4"/>
  <c r="O27" i="4"/>
  <c r="N31" i="4" l="1"/>
  <c r="O3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<sst xmlns="http://schemas.openxmlformats.org/spreadsheetml/2006/main" count="1278" uniqueCount="789">
  <si>
    <t>COMPANY NAME</t>
  </si>
  <si>
    <t>NESTLE INDIA LTD</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</si>
  <si>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</si>
  <si>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</si>
  <si>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</si>
  <si>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</si>
  <si>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</si>
  <si>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</si>
  <si>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</si>
  <si>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</si>
  <si>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</si>
  <si>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</si>
  <si>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</si>
  <si>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</si>
  <si>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</si>
  <si>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</si>
  <si>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</si>
  <si>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</si>
  <si>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</si>
  <si>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</si>
  <si>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</si>
  <si>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</si>
  <si>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</si>
  <si>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</si>
  <si>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</si>
  <si>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</si>
  <si>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</si>
  <si>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</si>
  <si>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</si>
  <si>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</si>
  <si>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</si>
  <si>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</si>
  <si>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</si>
  <si>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</si>
  <si>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</si>
  <si>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</si>
  <si>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</si>
  <si>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</si>
  <si>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</si>
  <si>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</si>
  <si>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</si>
  <si>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</si>
  <si>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</si>
  <si>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</si>
  <si>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</si>
  <si>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</si>
  <si>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</si>
  <si>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</si>
  <si>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</si>
  <si>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</si>
  <si>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</si>
  <si>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</si>
  <si>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</si>
  <si>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</si>
  <si>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Year</t>
  </si>
  <si>
    <t>#</t>
  </si>
  <si>
    <t>Sales Growth</t>
  </si>
  <si>
    <t xml:space="preserve">  -</t>
  </si>
  <si>
    <t>COGS</t>
  </si>
  <si>
    <t>COGS % Sales</t>
  </si>
  <si>
    <t>Gross Profit</t>
  </si>
  <si>
    <t>Selling &amp; General Exp</t>
  </si>
  <si>
    <t>S&amp;G % on Sales</t>
  </si>
  <si>
    <t>EBITDA</t>
  </si>
  <si>
    <t>EBITDA % on sales</t>
  </si>
  <si>
    <t>Interest % on sales</t>
  </si>
  <si>
    <t>Depreciation on sales</t>
  </si>
  <si>
    <t>EBT</t>
  </si>
  <si>
    <t>EBT % on sales</t>
  </si>
  <si>
    <t>TAX</t>
  </si>
  <si>
    <t>Effective Tax Growth</t>
  </si>
  <si>
    <t>Net Profit</t>
  </si>
  <si>
    <t>Net Profit % on sales/ Margins</t>
  </si>
  <si>
    <t>No of Equity Shares</t>
  </si>
  <si>
    <t>EPS</t>
  </si>
  <si>
    <t>EPS Growth%</t>
  </si>
  <si>
    <t>Income Statement</t>
  </si>
  <si>
    <t>wf</t>
  </si>
  <si>
    <t>Dividend Per share</t>
  </si>
  <si>
    <t>Other Exp</t>
  </si>
  <si>
    <t>Dividend Payout ratio</t>
  </si>
  <si>
    <t>Balance Sheet</t>
  </si>
  <si>
    <t>Total Liablities</t>
  </si>
  <si>
    <t>Total Assets</t>
  </si>
  <si>
    <t>Fixed Assets of net block</t>
  </si>
  <si>
    <t>Total Current Assets</t>
  </si>
  <si>
    <t>Total Non  Current Assets</t>
  </si>
  <si>
    <t>CHECK</t>
  </si>
  <si>
    <t>Cash Flow Statement</t>
  </si>
  <si>
    <r>
      <t>Cash from Operating Activity </t>
    </r>
    <r>
      <rPr>
        <sz val="11"/>
        <color rgb="FF665EFD"/>
        <rFont val="Calibri"/>
        <family val="2"/>
        <scheme val="minor"/>
      </rPr>
      <t>-</t>
    </r>
  </si>
  <si>
    <t>Profit from operations</t>
  </si>
  <si>
    <t>Payables</t>
  </si>
  <si>
    <t>Loans Advances</t>
  </si>
  <si>
    <t>Operating borrowings</t>
  </si>
  <si>
    <t>Other WC items</t>
  </si>
  <si>
    <t>Working capital changes</t>
  </si>
  <si>
    <t>Direct taxes</t>
  </si>
  <si>
    <r>
      <t>Cash from Investing Activity </t>
    </r>
    <r>
      <rPr>
        <sz val="11"/>
        <color rgb="FF665EFD"/>
        <rFont val="Calibri"/>
        <family val="2"/>
        <scheme val="minor"/>
      </rPr>
      <t>-</t>
    </r>
  </si>
  <si>
    <t>Fixed assets purchased</t>
  </si>
  <si>
    <t>Fixed assets sold</t>
  </si>
  <si>
    <t>Investments purchased</t>
  </si>
  <si>
    <t>Investments sold</t>
  </si>
  <si>
    <t>Interest received</t>
  </si>
  <si>
    <t>Dividends received</t>
  </si>
  <si>
    <t>Acquisition of companies</t>
  </si>
  <si>
    <t>Other investing items</t>
  </si>
  <si>
    <r>
      <t>Cash from Financing Activity </t>
    </r>
    <r>
      <rPr>
        <sz val="11"/>
        <color rgb="FF665EFD"/>
        <rFont val="Calibri"/>
        <family val="2"/>
        <scheme val="minor"/>
      </rPr>
      <t>-</t>
    </r>
  </si>
  <si>
    <t>Proceeds from borrowings</t>
  </si>
  <si>
    <t>Repayment of borrowings</t>
  </si>
  <si>
    <t>Investment subsidy</t>
  </si>
  <si>
    <t>Interest paid fin</t>
  </si>
  <si>
    <t>Dividends paid</t>
  </si>
  <si>
    <t>Financial liabilities</t>
  </si>
  <si>
    <t>Other financing items</t>
  </si>
  <si>
    <t>Free Cash Flow</t>
  </si>
  <si>
    <t>CFO/OP</t>
  </si>
  <si>
    <t>Cash from Operating Activity -</t>
  </si>
  <si>
    <t>Cash from Operating Activities</t>
  </si>
  <si>
    <t>Cash from Investing Activity -</t>
  </si>
  <si>
    <t>Cash from Investing Activities</t>
  </si>
  <si>
    <t>Cash from Financing Activity -</t>
  </si>
  <si>
    <t>Cash from Financial Activities</t>
  </si>
  <si>
    <t>SalesGrowth</t>
  </si>
  <si>
    <t>EBITDA Growth</t>
  </si>
  <si>
    <t>EBIT Growth</t>
  </si>
  <si>
    <t>Net Profit Growth</t>
  </si>
  <si>
    <t>Dividend Growth</t>
  </si>
  <si>
    <t>Gross Margin</t>
  </si>
  <si>
    <t>EBITDA Margin</t>
  </si>
  <si>
    <t>EBIT Margin</t>
  </si>
  <si>
    <t>Net Profit Margin</t>
  </si>
  <si>
    <t>Depreciation%Sales</t>
  </si>
  <si>
    <t>OperatingIncome%Sales</t>
  </si>
  <si>
    <t>Return on Capital Employed</t>
  </si>
  <si>
    <t>Retained Earnings%</t>
  </si>
  <si>
    <t>Return on Equity%</t>
  </si>
  <si>
    <t>Self Sustained Growth Rate</t>
  </si>
  <si>
    <t>Creditor Turnover Ratio</t>
  </si>
  <si>
    <t>Inventory Turnover</t>
  </si>
  <si>
    <t>Fixed Asset Turnover</t>
  </si>
  <si>
    <t>Capital Turnover Ratio</t>
  </si>
  <si>
    <t>Payable Days</t>
  </si>
  <si>
    <t>Inventory Days</t>
  </si>
  <si>
    <t>Cash Conversion Cycle (in days)</t>
  </si>
  <si>
    <t>CFO/Sales</t>
  </si>
  <si>
    <t>CFO/Total Assets</t>
  </si>
  <si>
    <t>CFO/Total Debt</t>
  </si>
  <si>
    <r>
      <t xml:space="preserve">EBT Margin </t>
    </r>
    <r>
      <rPr>
        <b/>
        <sz val="11"/>
        <color rgb="FFFF0000"/>
        <rFont val="Calibri"/>
        <family val="2"/>
        <scheme val="minor"/>
      </rPr>
      <t>(TAX )</t>
    </r>
  </si>
  <si>
    <r>
      <t xml:space="preserve">SalesExpenses%Sales </t>
    </r>
    <r>
      <rPr>
        <b/>
        <sz val="11"/>
        <color rgb="FFFF0000"/>
        <rFont val="Calibri"/>
        <family val="2"/>
        <scheme val="minor"/>
      </rPr>
      <t>( S&amp; G Margin)</t>
    </r>
  </si>
  <si>
    <t>EBIT ( Operating Income)</t>
  </si>
  <si>
    <t>Retained Earning ( Retention Ratio)</t>
  </si>
  <si>
    <t>Retention Ratio</t>
  </si>
  <si>
    <t>Interest Coverage Ratio ( Ctrl1&gt; custom&gt;0.0"X"</t>
  </si>
  <si>
    <t>Debtor Turnover Ratio X - Times payment recived</t>
  </si>
  <si>
    <t>Cash from Operations - Cash flow</t>
  </si>
  <si>
    <t>Trend Analysis</t>
  </si>
  <si>
    <t>Mean</t>
  </si>
  <si>
    <t>Median</t>
  </si>
  <si>
    <t>In Days</t>
  </si>
  <si>
    <t>Nestle India LTD   - Forecasting</t>
  </si>
  <si>
    <t xml:space="preserve">Sales  </t>
  </si>
  <si>
    <t xml:space="preserve">Year Weight </t>
  </si>
  <si>
    <t>Arthemetic Mean</t>
  </si>
  <si>
    <t>Geometric Mean</t>
  </si>
  <si>
    <t>Standard Devaiation</t>
  </si>
  <si>
    <t>HUL   - Forecasting</t>
  </si>
  <si>
    <t>Standard Deviation</t>
  </si>
  <si>
    <t>AM, GM</t>
  </si>
  <si>
    <t>Is not preferable data to forecast because the fluctuations in between may happened. Not suggestable to Forecast</t>
  </si>
  <si>
    <t>AM assumes every year has equal importance and ignores the sequence and volatility of growth.</t>
  </si>
  <si>
    <r>
      <t xml:space="preserve">GM is generally </t>
    </r>
    <r>
      <rPr>
        <b/>
        <sz val="11"/>
        <color theme="1"/>
        <rFont val="Calibri"/>
        <family val="2"/>
        <scheme val="minor"/>
      </rPr>
      <t>better than AM</t>
    </r>
    <r>
      <rPr>
        <sz val="11"/>
        <color theme="1"/>
        <rFont val="Calibri"/>
        <family val="2"/>
        <scheme val="minor"/>
      </rPr>
      <t xml:space="preserve"> when measuring long-term growth because it accounts for compounding.</t>
    </r>
  </si>
  <si>
    <t>Are AM and GM good for forecasting?</t>
  </si>
  <si>
    <t>Yes, but only in stable businesses.</t>
  </si>
  <si>
    <t>Examples:</t>
  </si>
  <si>
    <t>FMCG (Nestlé)</t>
  </si>
  <si>
    <t>Utilities</t>
  </si>
  <si>
    <t>Consumer Staples</t>
  </si>
  <si>
    <t>Historical averages may be reasonable starting points.</t>
  </si>
  <si>
    <t>No, if the business is highly volatile.</t>
  </si>
  <si>
    <t>Airlines</t>
  </si>
  <si>
    <t>Startups</t>
  </si>
  <si>
    <t>Commodity companies</t>
  </si>
  <si>
    <t>Oil &amp; Gas</t>
  </si>
  <si>
    <t>Semiconductor companies</t>
  </si>
  <si>
    <t>Here, historical averages can be misleading because future performance depends on changing business conditions.</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</si>
  <si>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</si>
  <si>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</si>
  <si>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</si>
  <si>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</si>
  <si>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</si>
  <si>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</si>
  <si>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</si>
  <si>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</si>
  <si>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</si>
  <si>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</si>
  <si>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</si>
  <si>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</si>
  <si>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</si>
  <si>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</si>
  <si>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</si>
  <si>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</si>
  <si>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</si>
  <si>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</si>
  <si>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</si>
  <si>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</si>
  <si>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</si>
  <si>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</si>
  <si>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</si>
  <si>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&gt;&gt;&gt;&gt;</t>
  </si>
  <si>
    <t>Strength of the resgression idle 0.4 is good</t>
  </si>
  <si>
    <t xml:space="preserve"> </t>
  </si>
  <si>
    <t>COGS Growth</t>
  </si>
  <si>
    <t>PBT</t>
  </si>
  <si>
    <t>PBT Growth</t>
  </si>
  <si>
    <t>All figures are in INR unless stated otherwise</t>
  </si>
  <si>
    <t>Peer Companies</t>
  </si>
  <si>
    <t>Name of the Company</t>
  </si>
  <si>
    <t>Country</t>
  </si>
  <si>
    <t>Total Debt</t>
  </si>
  <si>
    <t>Total Equity</t>
  </si>
  <si>
    <t>Tax Rate</t>
  </si>
  <si>
    <r>
      <t>Tax Rate</t>
    </r>
    <r>
      <rPr>
        <vertAlign val="superscript"/>
        <sz val="11"/>
        <color theme="1"/>
        <rFont val="Calibri"/>
        <family val="2"/>
        <scheme val="minor"/>
      </rPr>
      <t>1</t>
    </r>
  </si>
  <si>
    <t>Debt/</t>
  </si>
  <si>
    <t>Equity</t>
  </si>
  <si>
    <t>Capital</t>
  </si>
  <si>
    <t>Levered</t>
  </si>
  <si>
    <r>
      <t>Beta</t>
    </r>
    <r>
      <rPr>
        <vertAlign val="superscript"/>
        <sz val="11"/>
        <color theme="1"/>
        <rFont val="Calibri"/>
        <family val="2"/>
        <scheme val="minor"/>
      </rPr>
      <t>2</t>
    </r>
  </si>
  <si>
    <t>Unlevered</t>
  </si>
  <si>
    <r>
      <t>Beta</t>
    </r>
    <r>
      <rPr>
        <vertAlign val="superscript"/>
        <sz val="11"/>
        <color theme="1"/>
        <rFont val="Calibri"/>
        <family val="2"/>
        <scheme val="minor"/>
      </rPr>
      <t>3</t>
    </r>
  </si>
  <si>
    <t>Hind. Unilever</t>
  </si>
  <si>
    <t>India</t>
  </si>
  <si>
    <t>Nestle India</t>
  </si>
  <si>
    <t>Britannia Inds.</t>
  </si>
  <si>
    <t>Godrej Consumer</t>
  </si>
  <si>
    <t>Dabur India</t>
  </si>
  <si>
    <t>Unlevered beta means business risk only</t>
  </si>
  <si>
    <t>Levered beta means business risk and financial risk</t>
  </si>
  <si>
    <t>Average</t>
  </si>
  <si>
    <t>Cost of Debt</t>
  </si>
  <si>
    <t>Pre Tax Cost of Debt</t>
  </si>
  <si>
    <t>Cost of Equity</t>
  </si>
  <si>
    <t>Risk Free Rate</t>
  </si>
  <si>
    <t>Equity Risk Premium</t>
  </si>
  <si>
    <t>Levered Beta</t>
  </si>
  <si>
    <r>
      <t>Levered Beta</t>
    </r>
    <r>
      <rPr>
        <vertAlign val="superscript"/>
        <sz val="11"/>
        <color theme="1"/>
        <rFont val="Calibri"/>
        <family val="2"/>
        <scheme val="minor"/>
      </rPr>
      <t>4</t>
    </r>
  </si>
  <si>
    <t>Choose a Company</t>
  </si>
  <si>
    <t xml:space="preserve">        │</t>
  </si>
  <si>
    <t xml:space="preserve">        ▼</t>
  </si>
  <si>
    <t>Read Annual Report</t>
  </si>
  <si>
    <t>Understand Business</t>
  </si>
  <si>
    <t>• Revenue</t>
  </si>
  <si>
    <t>• Products</t>
  </si>
  <si>
    <t>• Risks</t>
  </si>
  <si>
    <t>• Industry</t>
  </si>
  <si>
    <t>Historical Financial Statements</t>
  </si>
  <si>
    <t>(IS, BS, CFS)</t>
  </si>
  <si>
    <t>Financial Modeling</t>
  </si>
  <si>
    <t>Forecast next 5–10 years</t>
  </si>
  <si>
    <t>• Expenses</t>
  </si>
  <si>
    <t>• Capex</t>
  </si>
  <si>
    <t>• Working Capital</t>
  </si>
  <si>
    <t>• Taxes</t>
  </si>
  <si>
    <t>Calculate Free Cash Flow (FCFF)</t>
  </si>
  <si>
    <t>Now ask...</t>
  </si>
  <si>
    <t>What discount rate should I use?</t>
  </si>
  <si>
    <t>Calculate WACC</t>
  </si>
  <si>
    <t xml:space="preserve">        ├──────────────┐</t>
  </si>
  <si>
    <t xml:space="preserve">        ▼              ▼</t>
  </si>
  <si>
    <t>Cost of Equity      Cost of Debt</t>
  </si>
  <si>
    <t>(CAPM)              (Interest Rate)</t>
  </si>
  <si>
    <t xml:space="preserve">        │              │</t>
  </si>
  <si>
    <t>Expected Return    Actual Borrowing Cost</t>
  </si>
  <si>
    <t>for Investors      of Company</t>
  </si>
  <si>
    <t xml:space="preserve">        └──────┬───────┘</t>
  </si>
  <si>
    <t xml:space="preserve">               ▼</t>
  </si>
  <si>
    <t>Weighted Average</t>
  </si>
  <si>
    <t>Cost of Capital (WACC)</t>
  </si>
  <si>
    <t xml:space="preserve">               │</t>
  </si>
  <si>
    <t>Discount FCFF</t>
  </si>
  <si>
    <t>using WACC</t>
  </si>
  <si>
    <t>Present Value of</t>
  </si>
  <si>
    <t>Future Cash Flows</t>
  </si>
  <si>
    <t>Calculate Terminal Value</t>
  </si>
  <si>
    <t>Enterprise Value</t>
  </si>
  <si>
    <t xml:space="preserve">     Less Net Debt</t>
  </si>
  <si>
    <t>(Debt − Cash)</t>
  </si>
  <si>
    <t>Equity Value</t>
  </si>
  <si>
    <t>Divide by Shares Outstanding</t>
  </si>
  <si>
    <t>Intrinsic Share Price</t>
  </si>
  <si>
    <t>Compare with Market Price</t>
  </si>
  <si>
    <t>Investment Decision</t>
  </si>
  <si>
    <t>BUY / HOLD / SELL</t>
  </si>
  <si>
    <t>Valuation</t>
  </si>
  <si>
    <t xml:space="preserve">                 Annual Report</t>
  </si>
  <si>
    <t xml:space="preserve">                       │</t>
  </si>
  <si>
    <t xml:space="preserve">                       ▼</t>
  </si>
  <si>
    <t xml:space="preserve">        Understand the Business Model</t>
  </si>
  <si>
    <t xml:space="preserve"> (Revenue, Products, Industry, Risks, Competition)</t>
  </si>
  <si>
    <t xml:space="preserve">        Collect Historical Financial Data</t>
  </si>
  <si>
    <t xml:space="preserve">       (Income Statement, BS, Cash Flow)</t>
  </si>
  <si>
    <t xml:space="preserve">      Clean &amp; Structure Data in Excel</t>
  </si>
  <si>
    <t xml:space="preserve">         Historical Ratio Analysis</t>
  </si>
  <si>
    <t xml:space="preserve">   (Margins, Growth, Working Capital,</t>
  </si>
  <si>
    <t xml:space="preserve">    Liquidity, Leverage, Efficiency)</t>
  </si>
  <si>
    <t xml:space="preserve">        Identify Forecast Drivers</t>
  </si>
  <si>
    <t>Financial Modeling Forecast</t>
  </si>
  <si>
    <t xml:space="preserve"> Forecast Income Statement</t>
  </si>
  <si>
    <t>Revenue</t>
  </si>
  <si>
    <t xml:space="preserve">   │</t>
  </si>
  <si>
    <t xml:space="preserve">   ▼</t>
  </si>
  <si>
    <t>Revenue Growth Assumption</t>
  </si>
  <si>
    <t>Forecast Revenue</t>
  </si>
  <si>
    <t>COGS (% of Revenue)</t>
  </si>
  <si>
    <t>Operating Expenses</t>
  </si>
  <si>
    <t>(SG&amp;A, Marketing, R&amp;D)</t>
  </si>
  <si>
    <t>EBIT</t>
  </si>
  <si>
    <t>Interest Expense</t>
  </si>
  <si>
    <t>(Based on Debt)</t>
  </si>
  <si>
    <t>Net Income</t>
  </si>
  <si>
    <t xml:space="preserve"> Forecast Balance Sheet</t>
  </si>
  <si>
    <t xml:space="preserve">    │</t>
  </si>
  <si>
    <t xml:space="preserve">    ▼</t>
  </si>
  <si>
    <t>Accounts Receivable</t>
  </si>
  <si>
    <t>(Receivable Days)</t>
  </si>
  <si>
    <t>(Inventory Days)</t>
  </si>
  <si>
    <t>Accounts Payable</t>
  </si>
  <si>
    <t>(Payable Days)</t>
  </si>
  <si>
    <t>Capex</t>
  </si>
  <si>
    <t>PPE</t>
  </si>
  <si>
    <t>Debt Schedule</t>
  </si>
  <si>
    <t>Short-term Debt</t>
  </si>
  <si>
    <t>Long-term Debt</t>
  </si>
  <si>
    <t>Retained Earnings</t>
  </si>
  <si>
    <t>(Net Income − Dividend)</t>
  </si>
  <si>
    <t>Everything balances</t>
  </si>
  <si>
    <t>Assets = Liabilities + Equity</t>
  </si>
  <si>
    <t xml:space="preserve"> Forecast Cash Flow</t>
  </si>
  <si>
    <t xml:space="preserve">      │</t>
  </si>
  <si>
    <t xml:space="preserve">      ▼</t>
  </si>
  <si>
    <t>± Working Capital Changes</t>
  </si>
  <si>
    <t>− Capex</t>
  </si>
  <si>
    <t>± Debt Raised/Repaid</t>
  </si>
  <si>
    <t>± Dividends</t>
  </si>
  <si>
    <t>───────────────</t>
  </si>
  <si>
    <t>Ending Cash</t>
  </si>
  <si>
    <t>calculate Free Cash Flow</t>
  </si>
  <si>
    <t xml:space="preserve"> │</t>
  </si>
  <si>
    <t xml:space="preserve"> ▼</t>
  </si>
  <si>
    <t>Less Tax</t>
  </si>
  <si>
    <t>NOPAT</t>
  </si>
  <si>
    <t>− Increase in Working Capital</t>
  </si>
  <si>
    <t>Free Cash Flow (FCFF)</t>
  </si>
  <si>
    <t>Financial Statement</t>
  </si>
  <si>
    <t>Forecast Driver</t>
  </si>
  <si>
    <t>Growth %, Volume × Price</t>
  </si>
  <si>
    <t>% of Revenue</t>
  </si>
  <si>
    <t>Marketing</t>
  </si>
  <si>
    <t>% of Revenue or Headcount</t>
  </si>
  <si>
    <t>PPE Schedule</t>
  </si>
  <si>
    <t>Effective Tax Rate</t>
  </si>
  <si>
    <t>Receivable Days</t>
  </si>
  <si>
    <t>Capex − Depreciation</t>
  </si>
  <si>
    <t>Cash</t>
  </si>
  <si>
    <t>Where Forecasting Actually Happens</t>
  </si>
  <si>
    <t>Capital Structure</t>
  </si>
  <si>
    <t>Current</t>
  </si>
  <si>
    <t>Targeted</t>
  </si>
  <si>
    <t>The 10-Step Formula You Should Memorize</t>
  </si>
  <si>
    <t>1. Understand the Business</t>
  </si>
  <si>
    <t>2. Collect Historical Financial Statements</t>
  </si>
  <si>
    <t>3. Perform Ratio &amp; Trend Analysis</t>
  </si>
  <si>
    <t>4. Identify Forecast Drivers</t>
  </si>
  <si>
    <t>5. Forecast Income Statement</t>
  </si>
  <si>
    <t>6. Forecast Balance Sheet</t>
  </si>
  <si>
    <t>7. Forecast Cash Flow Statement</t>
  </si>
  <si>
    <t>8. Calculate Free Cash Flow (FCFF)</t>
  </si>
  <si>
    <t>9. Value the Company (CAPM → WACC → DCF)</t>
  </si>
  <si>
    <t>10. Present Investment Recommendation</t>
  </si>
  <si>
    <t>Total Capital</t>
  </si>
  <si>
    <t>Comps median unlevered beta</t>
  </si>
  <si>
    <t>Targeted debt/Equity</t>
  </si>
  <si>
    <t>Debt/Equity</t>
  </si>
  <si>
    <t>Actual debt after Tax</t>
  </si>
  <si>
    <t>Cost of Equity ( CAPM or Ke)</t>
  </si>
  <si>
    <t>1. Tax Rate considered as Marginal Tax Rate for the country</t>
  </si>
  <si>
    <t>2. Levered Beta is based on 5 year monthly data</t>
  </si>
  <si>
    <t>3. Unlevered Beta = Levered Beta/(1+(1-Tax Rate) x Debt/Equity)</t>
  </si>
  <si>
    <t>4. Levered Beta = Unlevered Beta*(1+(1-Tax Rate) x Debt/Equity)</t>
  </si>
  <si>
    <t>Concept</t>
  </si>
  <si>
    <t>Meaning</t>
  </si>
  <si>
    <t>Purpose</t>
  </si>
  <si>
    <t>Finds the relationship between two variables</t>
  </si>
  <si>
    <t>Forecasting</t>
  </si>
  <si>
    <t>Regression Line</t>
  </si>
  <si>
    <t>Best-fit trend line</t>
  </si>
  <si>
    <t>Predict future values</t>
  </si>
  <si>
    <t>Slope</t>
  </si>
  <si>
    <t>Change in Y for a change in X</t>
  </si>
  <si>
    <t>Measures sensitivity</t>
  </si>
  <si>
    <t>Beta</t>
  </si>
  <si>
    <t>Slope of stock return vs market return</t>
  </si>
  <si>
    <t>Measures market risk</t>
  </si>
  <si>
    <t>Beta Regression</t>
  </si>
  <si>
    <t>Regression used to estimate Beta</t>
  </si>
  <si>
    <t>Input to CAPM</t>
  </si>
  <si>
    <t>CAPM</t>
  </si>
  <si>
    <t>Calculates Cost of Equity</t>
  </si>
  <si>
    <t>Input to WACC</t>
  </si>
  <si>
    <t>WACC</t>
  </si>
  <si>
    <t>Discount Rate</t>
  </si>
  <si>
    <t>Input to DCF</t>
  </si>
  <si>
    <t>Formula</t>
  </si>
  <si>
    <t>Symbol</t>
  </si>
  <si>
    <t>Business Logic</t>
  </si>
  <si>
    <t>÷</t>
  </si>
  <si>
    <t>Compare company movement with market movement</t>
  </si>
  <si>
    <t>Market Premium</t>
  </si>
  <si>
    <t>−</t>
  </si>
  <si>
    <t>Remove the risk-free return to get the extra reward for risk</t>
  </si>
  <si>
    <t>Beta × Premium</t>
  </si>
  <si>
    <t>×</t>
  </si>
  <si>
    <t>Adjust the premium based on the company's risk</t>
  </si>
  <si>
    <t>+</t>
  </si>
  <si>
    <t>Safe return + Risk premium</t>
  </si>
  <si>
    <t>After-tax Debt</t>
  </si>
  <si>
    <t>Reduce debt cost by the tax benefit</t>
  </si>
  <si>
    <t>× then +</t>
  </si>
  <si>
    <t>Weight each funding source, then combine them</t>
  </si>
  <si>
    <t>Date</t>
  </si>
  <si>
    <t>Closing Price</t>
  </si>
  <si>
    <t>Weekly Returns</t>
  </si>
  <si>
    <t>Avenue Super Market Weekly Returns</t>
  </si>
  <si>
    <t>Nifty Weekly Returns</t>
  </si>
  <si>
    <t>Beta 1</t>
  </si>
  <si>
    <t>Beta 2</t>
  </si>
  <si>
    <t>Beta 3</t>
  </si>
  <si>
    <t>X Variable 1</t>
  </si>
  <si>
    <t>Beta Drifting</t>
  </si>
  <si>
    <t>Raw Beta weight</t>
  </si>
  <si>
    <t>Market beta</t>
  </si>
  <si>
    <t>Adjusted Beta</t>
  </si>
  <si>
    <t>Mean/Market Beta weight</t>
  </si>
  <si>
    <t>Weight of Debt</t>
  </si>
  <si>
    <t>Weight of Equity</t>
  </si>
  <si>
    <t>Final</t>
  </si>
  <si>
    <t>S.No.</t>
  </si>
  <si>
    <t>Name</t>
  </si>
  <si>
    <t>Debt / Eq</t>
  </si>
  <si>
    <t>ITC</t>
  </si>
  <si>
    <t>Varun Beverages</t>
  </si>
  <si>
    <t>Marico</t>
  </si>
  <si>
    <t>Tata Consumer</t>
  </si>
  <si>
    <t>United Spirits</t>
  </si>
  <si>
    <t>Colgate-Palmoliv</t>
  </si>
  <si>
    <t>Radico Khaitan</t>
  </si>
  <si>
    <t>Patanjali Foods</t>
  </si>
  <si>
    <t>United Breweries</t>
  </si>
  <si>
    <t>Godfrey Phillips</t>
  </si>
  <si>
    <t>CMP Rs.</t>
  </si>
  <si>
    <t xml:space="preserve">Mar Cap Rs.Cr. </t>
  </si>
  <si>
    <t>Debt Rs.Cr.</t>
  </si>
  <si>
    <t>FMCG</t>
  </si>
  <si>
    <t>Retailing</t>
  </si>
  <si>
    <t>Eternal</t>
  </si>
  <si>
    <t>Avenue Super.</t>
  </si>
  <si>
    <t>Trent</t>
  </si>
  <si>
    <t>FSN E-Commerce</t>
  </si>
  <si>
    <t>Lenskart Solut.</t>
  </si>
  <si>
    <t>Meesho</t>
  </si>
  <si>
    <t>Info Edg.(India)</t>
  </si>
  <si>
    <t>Swiggy</t>
  </si>
  <si>
    <t>Vishal Mega Mart</t>
  </si>
  <si>
    <t>Urban Company</t>
  </si>
  <si>
    <t>Cartrade Tech</t>
  </si>
  <si>
    <t>A B Lifestyle</t>
  </si>
  <si>
    <t>Indiamart Inter.</t>
  </si>
  <si>
    <t>Brainbees Solut.</t>
  </si>
  <si>
    <t>Medplus Health</t>
  </si>
  <si>
    <t>Choose Retail Peer Companies</t>
  </si>
  <si>
    <t xml:space="preserve">          │</t>
  </si>
  <si>
    <t xml:space="preserve">          ▼</t>
  </si>
  <si>
    <t>Collect Levered Betas</t>
  </si>
  <si>
    <t>Remove Debt Effect</t>
  </si>
  <si>
    <t>(Unlever Beta)</t>
  </si>
  <si>
    <t>Average Industry Beta</t>
  </si>
  <si>
    <t>Apply DMart Debt Structure</t>
  </si>
  <si>
    <t>(Re-lever Beta)</t>
  </si>
  <si>
    <t>Final Beta</t>
  </si>
  <si>
    <t>CAPM → WACC → DCF</t>
  </si>
  <si>
    <t>Criteria</t>
  </si>
  <si>
    <t>Why?</t>
  </si>
  <si>
    <t>Same Industry</t>
  </si>
  <si>
    <t>Retail</t>
  </si>
  <si>
    <t>Similar Business Model</t>
  </si>
  <si>
    <t>Grocery/Supermarket</t>
  </si>
  <si>
    <t>Similar Customers</t>
  </si>
  <si>
    <t>Mass retail consumers</t>
  </si>
  <si>
    <t>Similar Revenue Source</t>
  </si>
  <si>
    <t>Store sales</t>
  </si>
  <si>
    <t>Similar Geography</t>
  </si>
  <si>
    <t>Mainly India</t>
  </si>
  <si>
    <t>Similar Risk</t>
  </si>
  <si>
    <t>Consumer retail</t>
  </si>
  <si>
    <t>Similar Growth Stage</t>
  </si>
  <si>
    <t>Mature listed companies</t>
  </si>
  <si>
    <t>Similar Capital Structure</t>
  </si>
  <si>
    <t>Not extremely debt-heavy</t>
  </si>
  <si>
    <t>Beta Regression measures how sensitive a company's stock returns are relative to the market by regressing the company's historical returns against market returns. To estimate a more stable beta for valuation, analysts often use a bottom-up beta by selecting comparable companies, unlevering their betas to remove financing effects, averaging the business risk, and then relevering the beta using the target company's capital structure. The resulting beta is then used in CAPM to estimate the Cost of Equity, which feeds into WACC and ultimately DCF valuation.</t>
  </si>
  <si>
    <t>Price</t>
  </si>
  <si>
    <t>Weekly returns</t>
  </si>
  <si>
    <t>Nestlee Weekly Returns</t>
  </si>
  <si>
    <t>3 Ways to calculate Beta:</t>
  </si>
  <si>
    <r>
      <t>Beta</t>
    </r>
    <r>
      <rPr>
        <vertAlign val="superscript"/>
        <sz val="11"/>
        <color theme="1"/>
        <rFont val="Calibri"/>
        <family val="2"/>
        <scheme val="minor"/>
      </rPr>
      <t>1</t>
    </r>
  </si>
  <si>
    <t>&gt;&gt;&gt; 10 years Govt bond return</t>
  </si>
  <si>
    <t>&gt;&gt; Rm- Rf = Rewarded Return</t>
  </si>
  <si>
    <t>Annual</t>
  </si>
  <si>
    <t>Dividend Timeline</t>
  </si>
  <si>
    <t>Company Declares Dividend</t>
  </si>
  <si>
    <t xml:space="preserve">            │</t>
  </si>
  <si>
    <t xml:space="preserve">            ▼</t>
  </si>
  <si>
    <t>Declaration Date</t>
  </si>
  <si>
    <t>Ex-Dividend Date</t>
  </si>
  <si>
    <t>(Buy before this date to receive dividend)</t>
  </si>
  <si>
    <t>Record Date</t>
  </si>
  <si>
    <t>(Company checks shareholder records)</t>
  </si>
  <si>
    <t>Payment Date</t>
  </si>
  <si>
    <t>(Dividend is credited)</t>
  </si>
  <si>
    <t>Dividend</t>
  </si>
  <si>
    <t>Profit paid to shareholders</t>
  </si>
  <si>
    <r>
      <t xml:space="preserve">Buy </t>
    </r>
    <r>
      <rPr>
        <b/>
        <sz val="11"/>
        <color theme="1"/>
        <rFont val="Calibri"/>
        <family val="2"/>
        <scheme val="minor"/>
      </rPr>
      <t>before</t>
    </r>
    <r>
      <rPr>
        <sz val="11"/>
        <color theme="1"/>
        <rFont val="Calibri"/>
        <family val="2"/>
        <scheme val="minor"/>
      </rPr>
      <t xml:space="preserve"> this date to receive the dividend</t>
    </r>
  </si>
  <si>
    <t>Company identifies eligible shareholders</t>
  </si>
  <si>
    <t>Dividend is paid</t>
  </si>
  <si>
    <t>Dividend Yield</t>
  </si>
  <si>
    <t>Dividend earned relative to the current share price</t>
  </si>
  <si>
    <t>Average Return</t>
  </si>
  <si>
    <t>Total Market Return</t>
  </si>
  <si>
    <r>
      <t>1.3%</t>
    </r>
    <r>
      <rPr>
        <vertAlign val="superscript"/>
        <sz val="11"/>
        <color theme="1"/>
        <rFont val="Calibri"/>
        <family val="2"/>
        <scheme val="minor"/>
      </rPr>
      <t>1</t>
    </r>
  </si>
  <si>
    <t>&gt;&gt; Interest/Total Debt</t>
  </si>
  <si>
    <t>Notes:</t>
  </si>
  <si>
    <t xml:space="preserve">Nifty 50 From Prime Investors finding out Rm </t>
  </si>
  <si>
    <t>Companies + Beta 1 year weekly return in Top Stock Research</t>
  </si>
  <si>
    <t>Peer Companies with same business model, market cap from Screener</t>
  </si>
  <si>
    <t>WACC &gt;&gt; Cost of money used by company</t>
  </si>
  <si>
    <t>Equity Capital</t>
  </si>
  <si>
    <t>Borrowings -</t>
  </si>
  <si>
    <t>Long term Borrowings</t>
  </si>
  <si>
    <t>Short term Borrowings</t>
  </si>
  <si>
    <t>Other Borrowings</t>
  </si>
  <si>
    <t>Other Liabilities -</t>
  </si>
  <si>
    <t>Non controlling int</t>
  </si>
  <si>
    <t>Trade Payables</t>
  </si>
  <si>
    <t>Other liability items</t>
  </si>
  <si>
    <t>Total Liabilities</t>
  </si>
  <si>
    <t>Fixed Assets -</t>
  </si>
  <si>
    <t>Land</t>
  </si>
  <si>
    <t>Building</t>
  </si>
  <si>
    <t>Equipments</t>
  </si>
  <si>
    <t>Computers</t>
  </si>
  <si>
    <t>Furniture n fittings</t>
  </si>
  <si>
    <t>Vehicles</t>
  </si>
  <si>
    <t>Intangible Assets</t>
  </si>
  <si>
    <t>Other fixed assets</t>
  </si>
  <si>
    <t>Gross Block</t>
  </si>
  <si>
    <t>Accumulated Depreciation</t>
  </si>
  <si>
    <t>CWIP</t>
  </si>
  <si>
    <t>Other Assets -</t>
  </si>
  <si>
    <t>Cash Equivalents</t>
  </si>
  <si>
    <t>Loans n Advances</t>
  </si>
  <si>
    <t>Other asset items</t>
  </si>
  <si>
    <t xml:space="preserve">   </t>
  </si>
  <si>
    <t>Particulars</t>
  </si>
  <si>
    <t>Bajaj Finserve Raw BS Data</t>
  </si>
  <si>
    <t>Intrinsic Growth&gt; Focuses On Business Growth</t>
  </si>
  <si>
    <t>Intrinsic Growth &gt; Company can achieve using its own profits, with out using any debt or issuing new shares in market.</t>
  </si>
  <si>
    <t>Calculation on Return on Invested Capital ( Instead of ROE doing ROIC)</t>
  </si>
  <si>
    <t>Current Assets</t>
  </si>
  <si>
    <t xml:space="preserve">Trade receivables </t>
  </si>
  <si>
    <t>Current Liabilities</t>
  </si>
  <si>
    <t>Total Current Liabilities</t>
  </si>
  <si>
    <t>Net Working Capital</t>
  </si>
  <si>
    <t>&gt;Current Assets- Current Liabilities</t>
  </si>
  <si>
    <t>Non Current Assets/ Fixed Assets</t>
  </si>
  <si>
    <t xml:space="preserve">Accumulated Dep </t>
  </si>
  <si>
    <t>Net Non Current Assets</t>
  </si>
  <si>
    <t>Invested Capital</t>
  </si>
  <si>
    <t>&gt;&gt;Net  Non current Assets+ Net working capital</t>
  </si>
  <si>
    <t>Net Non-Current Assets = capital locked in long-term assets.</t>
  </si>
  <si>
    <t>Net Working Capital = capital locked in day-to-day operations.</t>
  </si>
  <si>
    <t>Invested Capital = total capital tied up in operating activities.</t>
  </si>
  <si>
    <t>NOTES:</t>
  </si>
  <si>
    <t>Sales +</t>
  </si>
  <si>
    <t>Expenses +</t>
  </si>
  <si>
    <t>Other Income +</t>
  </si>
  <si>
    <t>GROSS Profit</t>
  </si>
  <si>
    <t>PARTICULARS</t>
  </si>
  <si>
    <t>INCOME STATEMENT</t>
  </si>
  <si>
    <t>ROIC</t>
  </si>
  <si>
    <t>Return on Invested capital</t>
  </si>
  <si>
    <t>NOPAT or EBIT/Invested capital</t>
  </si>
  <si>
    <t>Calculation of Reinvestment Rate</t>
  </si>
  <si>
    <t>NET Capex</t>
  </si>
  <si>
    <r>
      <t>Net Capital Expenditure (Net CapEx)</t>
    </r>
    <r>
      <rPr>
        <sz val="11"/>
        <color theme="1"/>
        <rFont val="Calibri"/>
        <family val="2"/>
        <scheme val="minor"/>
      </rPr>
      <t xml:space="preserve"> = Capital Expenditure − Depreciation</t>
    </r>
  </si>
  <si>
    <t>Cash from Operating Activity -</t>
  </si>
  <si>
    <t>Operating investments</t>
  </si>
  <si>
    <t>Other operating items</t>
  </si>
  <si>
    <t>Cash from Investing Activity -</t>
  </si>
  <si>
    <t>Cash from Financing Activity -</t>
  </si>
  <si>
    <t>Proceeds from shares</t>
  </si>
  <si>
    <t>Proceeds from debentures</t>
  </si>
  <si>
    <t>Proceeds from deposits</t>
  </si>
  <si>
    <t>Change in working capital</t>
  </si>
  <si>
    <r>
      <t>Change in  Working Capital</t>
    </r>
    <r>
      <rPr>
        <sz val="11"/>
        <color theme="1"/>
        <rFont val="Calibri"/>
        <family val="2"/>
        <scheme val="minor"/>
      </rPr>
      <t xml:space="preserve"> = Current Year's Working Capital − Previous Year's Working Capital</t>
    </r>
  </si>
  <si>
    <t>Net Capex= Assets purchased + sold</t>
  </si>
  <si>
    <t>Marginal Tax Rate</t>
  </si>
  <si>
    <t>Reinvestment Amt</t>
  </si>
  <si>
    <t>Reinvestment Rate</t>
  </si>
  <si>
    <t>EBIT (1-TAX)</t>
  </si>
  <si>
    <t>4 Yr Average</t>
  </si>
  <si>
    <t>Calculation of Intrinsic Growth Rate</t>
  </si>
  <si>
    <t>Intrinsic Growth&gt;&gt;&gt; Reinvestment Rate * ROIC</t>
  </si>
  <si>
    <t>Intrinsic Growth Rate</t>
  </si>
  <si>
    <t>4  Yr Median</t>
  </si>
  <si>
    <t>Debtor Days ( Recievables)</t>
  </si>
  <si>
    <t>Payable Days ( Creditors)</t>
  </si>
  <si>
    <t>TAX Rate</t>
  </si>
  <si>
    <t>Less: Reinvestment Rate</t>
  </si>
  <si>
    <t>Free Cash Flow Firm</t>
  </si>
  <si>
    <t>Calculation of PV of Free cash flow Firm</t>
  </si>
  <si>
    <t>&gt;&gt; Sector wise rate</t>
  </si>
  <si>
    <t>Instead ask:</t>
  </si>
  <si>
    <r>
      <t>1. Who gets the first share?</t>
    </r>
    <r>
      <rPr>
        <sz val="11"/>
        <color theme="1"/>
        <rFont val="Calibri"/>
        <family val="2"/>
        <scheme val="minor"/>
      </rPr>
      <t xml:space="preserve"> → Government (taxes).</t>
    </r>
  </si>
  <si>
    <r>
      <t>2. Who gets the second share?</t>
    </r>
    <r>
      <rPr>
        <sz val="11"/>
        <color theme="1"/>
        <rFont val="Calibri"/>
        <family val="2"/>
        <scheme val="minor"/>
      </rPr>
      <t xml:space="preserve"> → Business (reinvestment).</t>
    </r>
  </si>
  <si>
    <r>
      <t>3. Who gets what's left?</t>
    </r>
    <r>
      <rPr>
        <sz val="11"/>
        <color theme="1"/>
        <rFont val="Calibri"/>
        <family val="2"/>
        <scheme val="minor"/>
      </rPr>
      <t xml:space="preserve"> → Investors (free cash flow).</t>
    </r>
  </si>
  <si>
    <t>EBIT × (1 − Tax) × (1 − Reinvestment)</t>
  </si>
  <si>
    <t>Discounting Factor</t>
  </si>
  <si>
    <t>PV OF FCFF</t>
  </si>
  <si>
    <t>Expected Growth</t>
  </si>
  <si>
    <t>Terminal Growth</t>
  </si>
  <si>
    <t>Terminal Growth Rate ≈ Long-term inflation + Real GDP growth</t>
  </si>
  <si>
    <t>Expected Growth:</t>
  </si>
  <si>
    <t>Growth comes from two things:</t>
  </si>
  <si>
    <r>
      <t>1. How much the company reinvests</t>
    </r>
    <r>
      <rPr>
        <sz val="11"/>
        <color theme="1"/>
        <rFont val="Calibri"/>
        <family val="2"/>
        <scheme val="minor"/>
      </rPr>
      <t xml:space="preserve"> (Reinvestment Rate).</t>
    </r>
  </si>
  <si>
    <r>
      <t>2. How efficiently it earns returns on those investments</t>
    </r>
    <r>
      <rPr>
        <sz val="11"/>
        <color theme="1"/>
        <rFont val="Calibri"/>
        <family val="2"/>
        <scheme val="minor"/>
      </rPr>
      <t xml:space="preserve"> (ROIC).</t>
    </r>
  </si>
  <si>
    <t xml:space="preserve">Eg: </t>
  </si>
  <si>
    <r>
      <t xml:space="preserve">12% × 30% = </t>
    </r>
    <r>
      <rPr>
        <b/>
        <sz val="11"/>
        <color theme="1"/>
        <rFont val="Calibri"/>
        <family val="2"/>
        <scheme val="minor"/>
      </rPr>
      <t>3.6%</t>
    </r>
  </si>
  <si>
    <t xml:space="preserve">Reinvestment rate* ROIC </t>
  </si>
  <si>
    <t>Mid year convention</t>
  </si>
  <si>
    <r>
      <t xml:space="preserve">If the </t>
    </r>
    <r>
      <rPr>
        <b/>
        <sz val="11"/>
        <color theme="1"/>
        <rFont val="Calibri"/>
        <family val="2"/>
        <scheme val="minor"/>
      </rPr>
      <t>Present Value (PV) of FCFF is negative</t>
    </r>
    <r>
      <rPr>
        <sz val="11"/>
        <color theme="1"/>
        <rFont val="Calibri"/>
        <family val="2"/>
        <scheme val="minor"/>
      </rPr>
      <t xml:space="preserve">, it does </t>
    </r>
    <r>
      <rPr>
        <b/>
        <sz val="11"/>
        <color theme="1"/>
        <rFont val="Calibri"/>
        <family val="2"/>
        <scheme val="minor"/>
      </rPr>
      <t>not automatically mean the company is bad</t>
    </r>
    <r>
      <rPr>
        <sz val="11"/>
        <color theme="1"/>
        <rFont val="Calibri"/>
        <family val="2"/>
        <scheme val="minor"/>
      </rPr>
      <t xml:space="preserve">. It tells you the company is </t>
    </r>
    <r>
      <rPr>
        <b/>
        <sz val="11"/>
        <color theme="1"/>
        <rFont val="Calibri"/>
        <family val="2"/>
        <scheme val="minor"/>
      </rPr>
      <t>destroying cash rather than generating cash</t>
    </r>
    <r>
      <rPr>
        <sz val="11"/>
        <color theme="1"/>
        <rFont val="Calibri"/>
        <family val="2"/>
        <scheme val="minor"/>
      </rPr>
      <t xml:space="preserve"> during the forecast period. Your job is to find </t>
    </r>
    <r>
      <rPr>
        <b/>
        <sz val="11"/>
        <color theme="1"/>
        <rFont val="Calibri"/>
        <family val="2"/>
        <scheme val="minor"/>
      </rPr>
      <t>why</t>
    </r>
    <r>
      <rPr>
        <sz val="11"/>
        <color theme="1"/>
        <rFont val="Calibri"/>
        <family val="2"/>
        <scheme val="minor"/>
      </rPr>
      <t>.</t>
    </r>
  </si>
  <si>
    <t>FCFF is:</t>
  </si>
  <si>
    <t>Cash generated by operations after paying taxes and reinvesting in the business.</t>
  </si>
  <si>
    <t>If FCFF is negative:</t>
  </si>
  <si>
    <t>The company is spending more cash than it is generating from operations.</t>
  </si>
  <si>
    <t>What should a Financial Analyst check?</t>
  </si>
  <si>
    <t>If FCFF is negative, don't stop at the number. Investigate:</t>
  </si>
  <si>
    <t>Is EBIT positive or negative?</t>
  </si>
  <si>
    <t>Is CapEx unusually high?</t>
  </si>
  <si>
    <t>Is working capital increasing significantly?</t>
  </si>
  <si>
    <t>Is this temporary or persistent?</t>
  </si>
  <si>
    <t>Is management investing for future growth?</t>
  </si>
  <si>
    <t>The company generated ₹100 Cr from operations but invested ₹150 Cr back into the business.</t>
  </si>
  <si>
    <r>
      <t>Interpretation:</t>
    </r>
    <r>
      <rPr>
        <sz val="11"/>
        <color theme="1"/>
        <rFont val="Calibri"/>
        <family val="2"/>
        <scheme val="minor"/>
      </rPr>
      <t xml:space="preserve"> Negative FCFF due to aggressive investment, not necessarily poor performance</t>
    </r>
  </si>
  <si>
    <t>Calculation of Terminal Value</t>
  </si>
  <si>
    <t>FCFF(n+1)</t>
  </si>
  <si>
    <t>Terminal Value Rate</t>
  </si>
  <si>
    <t>Calculation of Equity Value</t>
  </si>
  <si>
    <t>PV of FCFF</t>
  </si>
  <si>
    <t>PV of Terminal Value</t>
  </si>
  <si>
    <t>Value of Operating Assets</t>
  </si>
  <si>
    <t>Cash:</t>
  </si>
  <si>
    <t>Debt:</t>
  </si>
  <si>
    <t>-</t>
  </si>
  <si>
    <t>Value of Equity</t>
  </si>
  <si>
    <t>Terminal Value Formula</t>
  </si>
  <si>
    <t>Where:</t>
  </si>
  <si>
    <r>
      <t>TV</t>
    </r>
    <r>
      <rPr>
        <sz val="11"/>
        <color theme="1"/>
        <rFont val="Calibri"/>
        <family val="2"/>
        <scheme val="minor"/>
      </rPr>
      <t xml:space="preserve"> = Terminal Value</t>
    </r>
  </si>
  <si>
    <r>
      <t>FCFₙ₊₁</t>
    </r>
    <r>
      <rPr>
        <sz val="11"/>
        <color theme="1"/>
        <rFont val="Calibri"/>
        <family val="2"/>
        <scheme val="minor"/>
      </rPr>
      <t xml:space="preserve"> = Free Cash Flow in the year after your last forecast</t>
    </r>
  </si>
  <si>
    <r>
      <t>WACC</t>
    </r>
    <r>
      <rPr>
        <sz val="11"/>
        <color theme="1"/>
        <rFont val="Calibri"/>
        <family val="2"/>
        <scheme val="minor"/>
      </rPr>
      <t xml:space="preserve"> = Discount Rate</t>
    </r>
  </si>
  <si>
    <r>
      <t>g</t>
    </r>
    <r>
      <rPr>
        <sz val="11"/>
        <color theme="1"/>
        <rFont val="Calibri"/>
        <family val="2"/>
        <scheme val="minor"/>
      </rPr>
      <t xml:space="preserve"> = Terminal Growth Rate</t>
    </r>
  </si>
  <si>
    <r>
      <t>Forecast Growth = Short-term growth</t>
    </r>
    <r>
      <rPr>
        <sz val="11"/>
        <color theme="1"/>
        <rFont val="Calibri"/>
        <family val="2"/>
        <scheme val="minor"/>
      </rPr>
      <t xml:space="preserve"> 📈</t>
    </r>
  </si>
  <si>
    <t>Terminal Growth = Long-term sustainable growth forever</t>
  </si>
  <si>
    <t>What if Forecast Free Cash Flow becomes Negative?</t>
  </si>
  <si>
    <t>Example</t>
  </si>
  <si>
    <t>Your question is:</t>
  </si>
  <si>
    <t>Can I still calculate Terminal Value?</t>
  </si>
  <si>
    <t>Case 1: Negative because of temporary investment ✅</t>
  </si>
  <si>
    <t>Example:</t>
  </si>
  <si>
    <t>New factory</t>
  </si>
  <si>
    <t>New product launch</t>
  </si>
  <si>
    <t>Expansion</t>
  </si>
  <si>
    <t>Heavy CapEx</t>
  </si>
  <si>
    <r>
      <t xml:space="preserve">Then </t>
    </r>
    <r>
      <rPr>
        <b/>
        <sz val="11"/>
        <color theme="1"/>
        <rFont val="Calibri"/>
        <family val="2"/>
        <scheme val="minor"/>
      </rPr>
      <t>yes</t>
    </r>
    <r>
      <rPr>
        <sz val="11"/>
        <color theme="1"/>
        <rFont val="Calibri"/>
        <family val="2"/>
        <scheme val="minor"/>
      </rPr>
      <t>, you can still assume positive long-term growth if your forecast supports a recovery.</t>
    </r>
  </si>
  <si>
    <t>FCF</t>
  </si>
  <si>
    <t>This is normal.</t>
  </si>
  <si>
    <t>Case 2: Negative because the business is deteriorating ⚠️</t>
  </si>
  <si>
    <t>Revenue declining every year</t>
  </si>
  <si>
    <t>Margins shrinking</t>
  </si>
  <si>
    <t>Debt increasing</t>
  </si>
  <si>
    <t>Continuous cash burn</t>
  </si>
  <si>
    <t>Now ask yourself:</t>
  </si>
  <si>
    <t>Does it make business sense to assume the company will grow forever?</t>
  </si>
  <si>
    <r>
      <t xml:space="preserve">Usually, </t>
    </r>
    <r>
      <rPr>
        <b/>
        <sz val="11"/>
        <color theme="1"/>
        <rFont val="Calibri"/>
        <family val="2"/>
        <scheme val="minor"/>
      </rPr>
      <t>no</t>
    </r>
    <r>
      <rPr>
        <sz val="11"/>
        <color theme="1"/>
        <rFont val="Calibri"/>
        <family val="2"/>
        <scheme val="minor"/>
      </rPr>
      <t>.</t>
    </r>
  </si>
  <si>
    <t>The model is telling you that your assumptions may be unrealistic or that the company may require restructuring, external financing, or could even fail if nothing changes.</t>
  </si>
  <si>
    <t>The Logic You Should Follow</t>
  </si>
  <si>
    <t>Never ask:</t>
  </si>
  <si>
    <t>"Which formula should I use?"</t>
  </si>
  <si>
    <t>"Does this business story make sense?"</t>
  </si>
  <si>
    <t>Think Like a CFO</t>
  </si>
  <si>
    <t>Observation</t>
  </si>
  <si>
    <t>CFO thinks</t>
  </si>
  <si>
    <t>Revenue down</t>
  </si>
  <si>
    <t>Why? Temporary or permanent?</t>
  </si>
  <si>
    <t>FCF negative</t>
  </si>
  <si>
    <t>Expansion or distress?</t>
  </si>
  <si>
    <t>CapEx high</t>
  </si>
  <si>
    <t>Investment or waste?</t>
  </si>
  <si>
    <t>Funding growth or covering losses?</t>
  </si>
  <si>
    <t>Can this company realistically grow forever?</t>
  </si>
  <si>
    <t>Why You're Missing the Calculation Logic</t>
  </si>
  <si>
    <t>Right now you're learning like this:</t>
  </si>
  <si>
    <t>Formula → Calculation → Answer</t>
  </si>
  <si>
    <t>Professional analysts think like this:</t>
  </si>
  <si>
    <t>Business Story → Assumptions → Calculation → Interpretation</t>
  </si>
  <si>
    <t>The formula is just the last step.</t>
  </si>
  <si>
    <t>A Better Learning Method (This will solve your problem)</t>
  </si>
  <si>
    <t>Whenever you learn a finance formula, create this table:</t>
  </si>
  <si>
    <t>Step</t>
  </si>
  <si>
    <t>Question</t>
  </si>
  <si>
    <t>What is this formula calculating?</t>
  </si>
  <si>
    <t>Why do we need it?</t>
  </si>
  <si>
    <t>Where do the numbers come from? (Income Statement, Balance Sheet, Cash Flow)</t>
  </si>
  <si>
    <t>Why are we adding or subtracting each component?</t>
  </si>
  <si>
    <t>What does a high value mean?</t>
  </si>
  <si>
    <t>What does a low or negative value mean?</t>
  </si>
  <si>
    <t>What business story would produce this result?</t>
  </si>
  <si>
    <t>If you can't answer all seven, don't move to the next formula.</t>
  </si>
  <si>
    <t>For example: Free Cash Flow</t>
  </si>
  <si>
    <t>Answer</t>
  </si>
  <si>
    <t>What?</t>
  </si>
  <si>
    <t>Cash left after running and investing in the business</t>
  </si>
  <si>
    <t>To value the company and assess financial flexibility</t>
  </si>
  <si>
    <t>Source?</t>
  </si>
  <si>
    <t>Why subtract CapEx?</t>
  </si>
  <si>
    <t>Because cash was spent on long-term assets</t>
  </si>
  <si>
    <t>High FCF?</t>
  </si>
  <si>
    <t>Strong cash generation</t>
  </si>
  <si>
    <t>Negative FCF?</t>
  </si>
  <si>
    <t>Could be growth investment or financial weakness</t>
  </si>
  <si>
    <t>Business story?</t>
  </si>
  <si>
    <t>"The company invested heavily in expansion, reducing FCF today but potentially increasing future cash flows."</t>
  </si>
  <si>
    <t>Add: Depreciation</t>
  </si>
  <si>
    <t>Add:  Depreciation</t>
  </si>
  <si>
    <t xml:space="preserve">Nestlee -  Weighted Average Cost of Capital </t>
  </si>
  <si>
    <r>
      <t xml:space="preserve">Collected data from the </t>
    </r>
    <r>
      <rPr>
        <b/>
        <i/>
        <sz val="11"/>
        <color theme="0" tint="-0.249977111117893"/>
        <rFont val="Calibri"/>
        <family val="2"/>
        <scheme val="minor"/>
      </rPr>
      <t>Investing.com of Nestlee Historical data</t>
    </r>
    <r>
      <rPr>
        <i/>
        <sz val="11"/>
        <color theme="0" tint="-0.249977111117893"/>
        <rFont val="Calibri"/>
        <family val="2"/>
        <scheme val="minor"/>
      </rPr>
      <t xml:space="preserve"> with 1 year , weekly returns. </t>
    </r>
  </si>
  <si>
    <t>Discounted Cash Flow</t>
  </si>
  <si>
    <t>Operating xp</t>
  </si>
  <si>
    <t>Assumptions:</t>
  </si>
  <si>
    <t>Revenue Growth</t>
  </si>
  <si>
    <t>Operating exp</t>
  </si>
  <si>
    <t>Operating exp % on sales</t>
  </si>
  <si>
    <t>Dep</t>
  </si>
  <si>
    <t>Growth</t>
  </si>
  <si>
    <t>Change in WC</t>
  </si>
  <si>
    <t>WC</t>
  </si>
  <si>
    <t>Working capital</t>
  </si>
  <si>
    <t>Free cash flow</t>
  </si>
  <si>
    <t>Terminal Rate</t>
  </si>
  <si>
    <t>Calculation of Terminal Value:</t>
  </si>
  <si>
    <t>Calculation of Enterprise Value</t>
  </si>
  <si>
    <r>
      <t>FCFF</t>
    </r>
    <r>
      <rPr>
        <vertAlign val="subscript"/>
        <sz val="11"/>
        <color theme="1"/>
        <rFont val="Calibri"/>
        <family val="2"/>
        <scheme val="minor"/>
      </rPr>
      <t>(n+1)</t>
    </r>
  </si>
  <si>
    <t>WACC (Discount Rate)</t>
  </si>
  <si>
    <t>Terminal Value</t>
  </si>
  <si>
    <t>PV of Temrinal Value</t>
  </si>
  <si>
    <t>Debt</t>
  </si>
  <si>
    <t>No.of Shares</t>
  </si>
  <si>
    <t>Intrinsci Value per share</t>
  </si>
  <si>
    <t>Current Share Price</t>
  </si>
  <si>
    <t>Undervalued</t>
  </si>
  <si>
    <t>Senstivity Analysis</t>
  </si>
  <si>
    <t>Terminal</t>
  </si>
  <si>
    <t>Nifty 50 Weekly Returns</t>
  </si>
  <si>
    <t>Trade receivables</t>
  </si>
  <si>
    <t>inventories</t>
  </si>
  <si>
    <t>Total current assets</t>
  </si>
  <si>
    <t>current liabilities</t>
  </si>
  <si>
    <t>Advance from Customers</t>
  </si>
  <si>
    <t>Current liabilities</t>
  </si>
  <si>
    <t>change in WC</t>
  </si>
  <si>
    <t>Sales -</t>
  </si>
  <si>
    <t>WC % on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</si>
</sst>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 #,##0;[Red]&quot;₹&quot;\ \-#,##0"/>
    <numFmt numFmtId="8" formatCode="&quot;₹&quot;\ #,##0.00;[Red]&quot;₹&quot;\ \-#,##0.00"/>
    <numFmt numFmtId="43" formatCode="_ * #,##0.00_ ;_ * \-#,##0.00_ ;_ * &quot;-&quot;??_ ;_ @_ "/>
    <numFmt numFmtId="164" formatCode="[$-409]mmm\-yy;@"/>
    <numFmt numFmtId="165" formatCode="_(* #,##0.00_);_(* \(#,##0.00\);_(* &quot;-&quot;??_);_(@_)"/>
    <numFmt numFmtId="166" formatCode="0.00&quot;x&quot;"/>
    <numFmt numFmtId="167" formatCode="0\ &quot;Days&quot;"/>
    <numFmt numFmtId="168" formatCode="0.0"/>
    <numFmt numFmtId="169" formatCode="0\F"/>
    <numFmt numFmtId="170" formatCode="0\A"/>
    <numFmt numFmtId="171" formatCode="yyyy\A"/>
    <numFmt numFmtId="172" formatCode="yyyy\F"/>
    <numFmt numFmtId="173" formatCode="0.0%"/>
    <numFmt numFmtId="174" formatCode="0.000000000000000%"/>
    <numFmt numFmtId="175" formatCode="#,##0.0"/>
    <numFmt numFmtId="176" formatCode="0.00000000"/>
    <numFmt numFmtId="177" formatCode="&quot;₹&quot;\ #,##0.0;&quot;₹&quot;\ \(#,##0.0\)"/>
    <numFmt numFmtId="178" formatCode="&quot;₹&quot;\ #,##0.0;&quot;₹&quot;\ \(#,##0.0\);\-"/>
    <numFmt numFmtId="179" formatCode="mmm/yy\A"/>
    <numFmt numFmtId="180" formatCode="mmm/yy\F"/>
    <numFmt numFmtId="181" formatCode="0.000"/>
    <numFmt numFmtId="182" formatCode="&quot;₹&quot;\ #,##0.00;&quot;₹&quot;\ \(#,##0.00\)"/>
  </numFmts>
  <fonts count="5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name val="Calibri"/>
      <family val="2"/>
      <scheme val="minor"/>
    </font>
    <font>
      <b/>
      <sz val="14"/>
      <color theme="0"/>
      <name val="Calibri"/>
      <family val="2"/>
      <scheme val="minor"/>
    </font>
    <font>
      <b/>
      <sz val="22"/>
      <color theme="0"/>
      <name val="Calibri"/>
      <family val="2"/>
      <scheme val="minor"/>
    </font>
    <font>
      <i/>
      <sz val="11"/>
      <color theme="0" tint="-0.499984740745262"/>
      <name val="Calibri"/>
      <family val="2"/>
      <scheme val="minor"/>
    </font>
    <font>
      <b/>
      <i/>
      <sz val="11"/>
      <color theme="0" tint="-0.499984740745262"/>
      <name val="Calibri"/>
      <family val="2"/>
      <scheme val="minor"/>
    </font>
    <font>
      <b/>
      <sz val="13.5"/>
      <color theme="1"/>
      <name val="Calibri"/>
      <family val="2"/>
      <scheme val="minor"/>
    </font>
    <font>
      <sz val="12"/>
      <color theme="1"/>
      <name val="Calibri"/>
      <family val="2"/>
      <scheme val="minor"/>
    </font>
    <font>
      <b/>
      <sz val="11"/>
      <color rgb="FFFF0000"/>
      <name val="Calibri"/>
      <family val="2"/>
      <scheme val="minor"/>
    </font>
    <font>
      <b/>
      <sz val="14"/>
      <name val="Calibri"/>
      <family val="2"/>
      <scheme val="minor"/>
    </font>
    <font>
      <sz val="11"/>
      <color rgb="FF606F7B"/>
      <name val="Calibri"/>
      <family val="2"/>
      <scheme val="minor"/>
    </font>
    <font>
      <sz val="11"/>
      <color theme="1"/>
      <name val="Calibri"/>
      <family val="2"/>
      <scheme val="minor"/>
    </font>
    <font>
      <sz val="11"/>
      <color rgb="FF665EFD"/>
      <name val="Calibri"/>
      <family val="2"/>
      <scheme val="minor"/>
    </font>
    <font>
      <sz val="11"/>
      <color rgb="FF606F7B"/>
      <name val="Calibri"/>
      <family val="2"/>
      <scheme val="minor"/>
    </font>
    <font>
      <sz val="18"/>
      <color theme="1"/>
      <name val="Calibri"/>
      <family val="2"/>
      <scheme val="minor"/>
    </font>
    <font>
      <b/>
      <sz val="11"/>
      <color rgb="FFC00000"/>
      <name val="Calibri"/>
      <family val="2"/>
      <scheme val="minor"/>
    </font>
    <font>
      <b/>
      <sz val="11"/>
      <color rgb="FF00B050"/>
      <name val="Calibri"/>
      <family val="2"/>
      <scheme val="minor"/>
    </font>
    <font>
      <b/>
      <i/>
      <sz val="11"/>
      <color theme="1"/>
      <name val="Calibri"/>
      <family val="2"/>
      <scheme val="minor"/>
    </font>
    <font>
      <sz val="18"/>
      <color theme="0"/>
      <name val="Calibri"/>
      <family val="2"/>
      <scheme val="minor"/>
    </font>
    <font>
      <sz val="11"/>
      <color rgb="FF0070C0"/>
      <name val="Calibri"/>
      <family val="2"/>
      <scheme val="minor"/>
    </font>
    <font>
      <b/>
      <sz val="18"/>
      <color theme="1"/>
      <name val="Calibri"/>
      <family val="2"/>
      <scheme val="minor"/>
    </font>
    <font>
      <i/>
      <sz val="11"/>
      <color theme="1"/>
      <name val="Calibri"/>
      <family val="2"/>
      <scheme val="minor"/>
    </font>
    <font>
      <b/>
      <sz val="15"/>
      <color theme="0"/>
      <name val="Calibri"/>
      <family val="2"/>
      <scheme val="minor"/>
    </font>
    <font>
      <vertAlign val="superscript"/>
      <sz val="11"/>
      <color theme="1"/>
      <name val="Calibri"/>
      <family val="2"/>
      <scheme val="minor"/>
    </font>
    <font>
      <sz val="11"/>
      <color theme="1"/>
      <name val="calibri"/>
      <family val="2"/>
    </font>
    <font>
      <sz val="11"/>
      <color rgb="FF3333FF"/>
      <name val="calibri"/>
      <family val="2"/>
    </font>
    <font>
      <sz val="11"/>
      <color rgb="FF0000CC"/>
      <name val="Calibri"/>
      <family val="2"/>
      <scheme val="minor"/>
    </font>
    <font>
      <sz val="11"/>
      <color rgb="FF3333FF"/>
      <name val="Calibri"/>
      <family val="2"/>
      <scheme val="minor"/>
    </font>
    <font>
      <b/>
      <sz val="18"/>
      <color theme="0"/>
      <name val="Calibri"/>
      <family val="2"/>
      <scheme val="minor"/>
    </font>
    <font>
      <b/>
      <sz val="16"/>
      <color theme="0"/>
      <name val="Calibri"/>
      <family val="2"/>
      <scheme val="minor"/>
    </font>
    <font>
      <b/>
      <sz val="24"/>
      <color theme="1"/>
      <name val="Calibri"/>
      <family val="2"/>
      <scheme val="minor"/>
    </font>
    <font>
      <sz val="11"/>
      <color theme="1"/>
      <name val="Calibri"/>
      <family val="2"/>
    </font>
    <font>
      <b/>
      <sz val="11"/>
      <color theme="1"/>
      <name val="calibri"/>
      <family val="2"/>
    </font>
    <font>
      <b/>
      <sz val="15"/>
      <color theme="1"/>
      <name val="Calibri"/>
      <family val="2"/>
      <scheme val="minor"/>
    </font>
    <font>
      <sz val="11"/>
      <color rgb="FFFF0000"/>
      <name val="Calibri"/>
      <family val="2"/>
      <scheme val="minor"/>
    </font>
    <font>
      <sz val="11"/>
      <color rgb="FF0000CC"/>
      <name val="Calibri"/>
      <family val="2"/>
    </font>
    <font>
      <b/>
      <sz val="18"/>
      <name val="Calibri"/>
      <family val="2"/>
      <scheme val="minor"/>
    </font>
    <font>
      <b/>
      <sz val="12"/>
      <color theme="0"/>
      <name val="Calibri"/>
      <family val="2"/>
      <scheme val="minor"/>
    </font>
    <font>
      <b/>
      <u/>
      <sz val="11"/>
      <color theme="1"/>
      <name val="Calibri"/>
      <family val="2"/>
      <scheme val="minor"/>
    </font>
    <font>
      <i/>
      <sz val="11"/>
      <color theme="0" tint="-0.249977111117893"/>
      <name val="Calibri"/>
      <family val="2"/>
      <scheme val="minor"/>
    </font>
    <font>
      <i/>
      <sz val="9"/>
      <color theme="0" tint="-0.249977111117893"/>
      <name val="Calibri"/>
      <family val="2"/>
    </font>
    <font>
      <b/>
      <i/>
      <sz val="11"/>
      <color theme="0" tint="-0.249977111117893"/>
      <name val="Calibri"/>
      <family val="2"/>
      <scheme val="minor"/>
    </font>
    <font>
      <b/>
      <i/>
      <sz val="11"/>
      <color theme="0" tint="-0.14999847407452621"/>
      <name val="Calibri"/>
      <family val="2"/>
      <scheme val="minor"/>
    </font>
    <font>
      <b/>
      <u/>
      <sz val="15"/>
      <color theme="0"/>
      <name val="Calibri"/>
      <family val="2"/>
      <scheme val="minor"/>
    </font>
    <font>
      <b/>
      <sz val="11"/>
      <color theme="0" tint="-0.14999847407452621"/>
      <name val="Calibri"/>
      <family val="2"/>
      <scheme val="minor"/>
    </font>
    <font>
      <b/>
      <u/>
      <sz val="14"/>
      <color theme="0"/>
      <name val="Calibri"/>
      <family val="2"/>
      <scheme val="minor"/>
    </font>
    <font>
      <vertAlign val="subscript"/>
      <sz val="11"/>
      <color theme="1"/>
      <name val="Calibri"/>
      <family val="2"/>
      <scheme val="minor"/>
    </font>
    <font>
      <sz val="11"/>
      <color theme="0" tint="-0.14999847407452621"/>
      <name val="Calibri"/>
      <family val="2"/>
      <scheme val="minor"/>
    </font>
    <font>
      <i/>
      <sz val="11"/>
      <color theme="0" tint="-0.14999847407452621"/>
      <name val="Calibri"/>
      <family val="2"/>
      <scheme val="minor"/>
    </font>
    <font>
      <b/>
      <sz val="11"/>
      <color rgb="FF0000CC"/>
      <name val="Calibri"/>
      <family val="2"/>
      <scheme val="minor"/>
    </font>
    <font>
      <i/>
      <sz val="11"/>
      <color rgb="FF0000CC"/>
      <name val="Calibri"/>
      <family val="2"/>
      <scheme val="minor"/>
    </font>
    <font>
      <b/>
      <i/>
      <u/>
      <sz val="11"/>
      <color theme="0"/>
      <name val="Calibri"/>
      <family val="2"/>
      <scheme val="minor"/>
    </font>
  </fonts>
  <fills count="23">
    <fill>
      <patternFill patternType="none"/>
    </fill>
    <fill>
      <patternFill patternType="gray125"/>
    </fill>
    <fill>
      <patternFill patternType="solid">
        <fgColor theme="9"/>
      </patternFill>
    </fill>
    <fill>
      <patternFill patternType="solid">
        <fgColor rgb="FF0275D8"/>
        <bgColor indexed="64"/>
      </patternFill>
    </fill>
    <fill>
      <patternFill patternType="solid">
        <fgColor rgb="FF0070C0"/>
        <bgColor indexed="64"/>
      </patternFill>
    </fill>
    <fill>
      <patternFill patternType="solid">
        <fgColor rgb="FF002060"/>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rgb="FFFFFFFF"/>
        <bgColor indexed="64"/>
      </patternFill>
    </fill>
    <fill>
      <patternFill patternType="solid">
        <fgColor rgb="FFF8F8FC"/>
        <bgColor indexed="64"/>
      </patternFill>
    </fill>
    <fill>
      <patternFill patternType="solid">
        <fgColor theme="0"/>
        <bgColor indexed="64"/>
      </patternFill>
    </fill>
    <fill>
      <patternFill patternType="solid">
        <fgColor theme="3"/>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57">
    <border>
      <left/>
      <right/>
      <top/>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medium">
        <color rgb="FFDBE4F0"/>
      </top>
      <bottom/>
      <diagonal/>
    </border>
    <border>
      <left/>
      <right/>
      <top style="dotted">
        <color auto="1"/>
      </top>
      <bottom style="dotted">
        <color auto="1"/>
      </bottom>
      <diagonal/>
    </border>
    <border>
      <left/>
      <right/>
      <top style="dotted">
        <color auto="1"/>
      </top>
      <bottom/>
      <diagonal/>
    </border>
    <border>
      <left/>
      <right/>
      <top/>
      <bottom style="dotted">
        <color auto="1"/>
      </bottom>
      <diagonal/>
    </border>
    <border>
      <left/>
      <right/>
      <top/>
      <bottom style="medium">
        <color indexed="64"/>
      </bottom>
      <diagonal/>
    </border>
    <border>
      <left/>
      <right/>
      <top style="medium">
        <color indexed="64"/>
      </top>
      <bottom style="thin">
        <color auto="1"/>
      </bottom>
      <diagonal/>
    </border>
    <border>
      <left/>
      <right/>
      <top style="medium">
        <color indexed="64"/>
      </top>
      <bottom/>
      <diagonal/>
    </border>
    <border>
      <left/>
      <right/>
      <top/>
      <bottom style="thin">
        <color auto="1"/>
      </bottom>
      <diagonal/>
    </border>
    <border>
      <left/>
      <right/>
      <top/>
      <bottom style="dashed">
        <color auto="1"/>
      </bottom>
      <diagonal/>
    </border>
    <border>
      <left/>
      <right/>
      <top style="dashed">
        <color auto="1"/>
      </top>
      <bottom/>
      <diagonal/>
    </border>
    <border>
      <left/>
      <right/>
      <top/>
      <bottom style="thin">
        <color theme="8" tint="-0.499984740745262"/>
      </bottom>
      <diagonal/>
    </border>
    <border>
      <left/>
      <right/>
      <top style="thin">
        <color theme="0" tint="-0.34998626667073579"/>
      </top>
      <bottom style="thin">
        <color theme="0" tint="-0.34998626667073579"/>
      </bottom>
      <diagonal/>
    </border>
    <border>
      <left/>
      <right/>
      <top style="thin">
        <color auto="1"/>
      </top>
      <bottom/>
      <diagonal/>
    </border>
    <border>
      <left/>
      <right/>
      <top style="thin">
        <color theme="0" tint="-0.34998626667073579"/>
      </top>
      <bottom style="thick">
        <color theme="0" tint="-0.34998626667073579"/>
      </bottom>
      <diagonal/>
    </border>
    <border>
      <left/>
      <right/>
      <top style="thin">
        <color rgb="FF002060"/>
      </top>
      <bottom style="medium">
        <color rgb="FF002060"/>
      </bottom>
      <diagonal/>
    </border>
    <border>
      <left/>
      <right/>
      <top style="thin">
        <color rgb="FF002060"/>
      </top>
      <bottom style="dashed">
        <color rgb="FF002060"/>
      </bottom>
      <diagonal/>
    </border>
    <border>
      <left/>
      <right/>
      <top style="dashed">
        <color rgb="FF002060"/>
      </top>
      <bottom style="dashed">
        <color rgb="FF002060"/>
      </bottom>
      <diagonal/>
    </border>
    <border>
      <left/>
      <right/>
      <top style="dashed">
        <color rgb="FF002060"/>
      </top>
      <bottom style="thin">
        <color rgb="FF00206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ashed">
        <color rgb="FF002060"/>
      </left>
      <right style="dashed">
        <color rgb="FF002060"/>
      </right>
      <top style="dashed">
        <color rgb="FF002060"/>
      </top>
      <bottom style="dashed">
        <color rgb="FF002060"/>
      </bottom>
      <diagonal/>
    </border>
    <border>
      <left style="dashed">
        <color rgb="FF002060"/>
      </left>
      <right/>
      <top style="dashed">
        <color rgb="FF002060"/>
      </top>
      <bottom style="dashed">
        <color rgb="FF002060"/>
      </bottom>
      <diagonal/>
    </border>
    <border>
      <left/>
      <right style="dashed">
        <color rgb="FF002060"/>
      </right>
      <top style="dashed">
        <color rgb="FF002060"/>
      </top>
      <bottom style="dashed">
        <color rgb="FF002060"/>
      </bottom>
      <diagonal/>
    </border>
    <border>
      <left/>
      <right/>
      <top style="dashed">
        <color rgb="FF002060"/>
      </top>
      <bottom style="medium">
        <color rgb="FF002060"/>
      </bottom>
      <diagonal/>
    </border>
    <border>
      <left/>
      <right/>
      <top style="dashed">
        <color rgb="FF002060"/>
      </top>
      <bottom/>
      <diagonal/>
    </border>
    <border>
      <left/>
      <right/>
      <top style="thin">
        <color rgb="FF002060"/>
      </top>
      <bottom style="thin">
        <color rgb="FF002060"/>
      </bottom>
      <diagonal/>
    </border>
    <border>
      <left/>
      <right/>
      <top style="medium">
        <color rgb="FF002060"/>
      </top>
      <bottom/>
      <diagonal/>
    </border>
    <border>
      <left/>
      <right/>
      <top/>
      <bottom style="dashed">
        <color rgb="FF002060"/>
      </bottom>
      <diagonal/>
    </border>
    <border>
      <left style="hair">
        <color rgb="FF002060"/>
      </left>
      <right style="hair">
        <color rgb="FF002060"/>
      </right>
      <top style="thin">
        <color rgb="FF002060"/>
      </top>
      <bottom style="thin">
        <color rgb="FF002060"/>
      </bottom>
      <diagonal/>
    </border>
    <border>
      <left style="dashed">
        <color rgb="FF002060"/>
      </left>
      <right style="dashed">
        <color rgb="FF002060"/>
      </right>
      <top/>
      <bottom/>
      <diagonal/>
    </border>
    <border>
      <left/>
      <right/>
      <top style="medium">
        <color rgb="FF002060"/>
      </top>
      <bottom style="dashed">
        <color rgb="FF002060"/>
      </bottom>
      <diagonal/>
    </border>
    <border>
      <left/>
      <right/>
      <top style="medium">
        <color rgb="FF002060"/>
      </top>
      <bottom style="medium">
        <color rgb="FF002060"/>
      </bottom>
      <diagonal/>
    </border>
    <border>
      <left/>
      <right/>
      <top style="thin">
        <color rgb="FF002060"/>
      </top>
      <bottom/>
      <diagonal/>
    </border>
    <border>
      <left/>
      <right style="hair">
        <color rgb="FF002060"/>
      </right>
      <top style="thin">
        <color rgb="FF002060"/>
      </top>
      <bottom style="thin">
        <color rgb="FF002060"/>
      </bottom>
      <diagonal/>
    </border>
    <border>
      <left style="dashed">
        <color rgb="FF002060"/>
      </left>
      <right style="dashed">
        <color rgb="FF002060"/>
      </right>
      <top style="medium">
        <color rgb="FF002060"/>
      </top>
      <bottom/>
      <diagonal/>
    </border>
    <border>
      <left style="dashed">
        <color rgb="FF002060"/>
      </left>
      <right style="dashed">
        <color rgb="FF002060"/>
      </right>
      <top style="thin">
        <color rgb="FF002060"/>
      </top>
      <bottom style="thin">
        <color rgb="FF002060"/>
      </bottom>
      <diagonal/>
    </border>
    <border>
      <left style="dashed">
        <color rgb="FF002060"/>
      </left>
      <right style="dashed">
        <color rgb="FF002060"/>
      </right>
      <top/>
      <bottom style="dashed">
        <color rgb="FF002060"/>
      </bottom>
      <diagonal/>
    </border>
    <border>
      <left style="dashed">
        <color rgb="FF002060"/>
      </left>
      <right style="dashed">
        <color rgb="FF002060"/>
      </right>
      <top style="dashed">
        <color rgb="FF002060"/>
      </top>
      <bottom/>
      <diagonal/>
    </border>
    <border>
      <left style="dashed">
        <color rgb="FF002060"/>
      </left>
      <right style="dashed">
        <color rgb="FF002060"/>
      </right>
      <top style="dashed">
        <color rgb="FF002060"/>
      </top>
      <bottom style="thin">
        <color rgb="FF002060"/>
      </bottom>
      <diagonal/>
    </border>
    <border>
      <left style="dashed">
        <color auto="1"/>
      </left>
      <right style="dashed">
        <color auto="1"/>
      </right>
      <top/>
      <bottom/>
      <diagonal/>
    </border>
    <border>
      <left style="dashed">
        <color auto="1"/>
      </left>
      <right style="dashed">
        <color auto="1"/>
      </right>
      <top style="dashed">
        <color auto="1"/>
      </top>
      <bottom style="dashed">
        <color auto="1"/>
      </bottom>
      <diagonal/>
    </border>
    <border>
      <left/>
      <right/>
      <top style="dashed">
        <color auto="1"/>
      </top>
      <bottom style="dashed">
        <color auto="1"/>
      </bottom>
      <diagonal/>
    </border>
    <border>
      <left style="dashed">
        <color auto="1"/>
      </left>
      <right style="dashed">
        <color auto="1"/>
      </right>
      <top/>
      <bottom style="thin">
        <color auto="1"/>
      </bottom>
      <diagonal/>
    </border>
    <border>
      <left style="thin">
        <color rgb="FF002060"/>
      </left>
      <right style="dashed">
        <color rgb="FF002060"/>
      </right>
      <top style="thin">
        <color rgb="FF002060"/>
      </top>
      <bottom style="dashed">
        <color rgb="FF002060"/>
      </bottom>
      <diagonal/>
    </border>
    <border>
      <left style="dashed">
        <color rgb="FF002060"/>
      </left>
      <right style="dashed">
        <color rgb="FF002060"/>
      </right>
      <top style="thin">
        <color rgb="FF002060"/>
      </top>
      <bottom style="dashed">
        <color rgb="FF002060"/>
      </bottom>
      <diagonal/>
    </border>
    <border>
      <left style="dashed">
        <color rgb="FF002060"/>
      </left>
      <right style="thin">
        <color rgb="FF002060"/>
      </right>
      <top style="thin">
        <color rgb="FF002060"/>
      </top>
      <bottom style="dashed">
        <color rgb="FF002060"/>
      </bottom>
      <diagonal/>
    </border>
    <border>
      <left style="thin">
        <color rgb="FF002060"/>
      </left>
      <right style="dashed">
        <color rgb="FF002060"/>
      </right>
      <top style="dashed">
        <color rgb="FF002060"/>
      </top>
      <bottom style="dashed">
        <color rgb="FF002060"/>
      </bottom>
      <diagonal/>
    </border>
    <border>
      <left style="dashed">
        <color rgb="FF002060"/>
      </left>
      <right style="thin">
        <color rgb="FF002060"/>
      </right>
      <top style="dashed">
        <color rgb="FF002060"/>
      </top>
      <bottom style="dashed">
        <color rgb="FF002060"/>
      </bottom>
      <diagonal/>
    </border>
    <border>
      <left style="thin">
        <color rgb="FF002060"/>
      </left>
      <right style="dashed">
        <color rgb="FF002060"/>
      </right>
      <top style="dashed">
        <color rgb="FF002060"/>
      </top>
      <bottom style="thin">
        <color rgb="FF002060"/>
      </bottom>
      <diagonal/>
    </border>
    <border>
      <left style="dashed">
        <color rgb="FF002060"/>
      </left>
      <right style="thin">
        <color rgb="FF002060"/>
      </right>
      <top style="dashed">
        <color rgb="FF002060"/>
      </top>
      <bottom style="thin">
        <color rgb="FF002060"/>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2" borderId="0" applyNumberFormat="0" applyBorder="0" applyAlignment="0" applyProtection="0"/>
    <xf numFmtId="0" fontId="5" fillId="0" borderId="0" applyNumberFormat="0" applyFill="0" applyBorder="0" applyAlignment="0" applyProtection="0">
      <alignment vertical="top"/>
      <protection locked="0"/>
    </xf>
    <xf numFmtId="0" fontId="29" fillId="0" borderId="0"/>
  </cellStyleXfs>
  <cellXfs count="376">
    <xf numFmtId="0" fontId="0" fillId="0" borderId="0" xfId="0"/>
    <xf numFmtId="43" fontId="3" fillId="0" borderId="0" xfId="1" applyFont="1" applyBorder="1"/>
    <xf numFmtId="43" fontId="0" fillId="0" borderId="0" xfId="1" applyFont="1" applyBorder="1"/>
    <xf numFmtId="164" fontId="2" fillId="3" borderId="0" xfId="1" applyNumberFormat="1" applyFont="1" applyFill="1" applyBorder="1"/>
    <xf numFmtId="164" fontId="2" fillId="3" borderId="0" xfId="0" applyNumberFormat="1" applyFont="1" applyFill="1" applyAlignment="1">
      <alignment horizontal="center"/>
    </xf>
    <xf numFmtId="164" fontId="6" fillId="0" borderId="0" xfId="1" applyNumberFormat="1" applyFont="1" applyFill="1" applyBorder="1"/>
    <xf numFmtId="43" fontId="1" fillId="0" borderId="0" xfId="1" applyFont="1" applyBorder="1"/>
    <xf numFmtId="165" fontId="0" fillId="0" borderId="0" xfId="1" applyNumberFormat="1" applyFont="1" applyBorder="1"/>
    <xf numFmtId="14" fontId="0" fillId="0" borderId="0" xfId="0" applyNumberFormat="1"/>
    <xf numFmtId="0" fontId="0" fillId="0" borderId="0" xfId="0" applyAlignment="1">
      <alignment vertical="center" wrapText="1"/>
    </xf>
    <xf numFmtId="0" fontId="3" fillId="0" borderId="0" xfId="0" applyFont="1" applyAlignment="1">
      <alignment horizontal="center" vertical="center"/>
    </xf>
    <xf numFmtId="0" fontId="3" fillId="0" borderId="0" xfId="0" applyFont="1" applyAlignment="1">
      <alignment vertical="center"/>
    </xf>
    <xf numFmtId="8" fontId="0" fillId="0" borderId="0" xfId="0" applyNumberFormat="1"/>
    <xf numFmtId="0" fontId="7" fillId="4" borderId="0" xfId="0" applyFont="1" applyFill="1"/>
    <xf numFmtId="17" fontId="7" fillId="4" borderId="0" xfId="0" applyNumberFormat="1" applyFont="1" applyFill="1"/>
    <xf numFmtId="0" fontId="9" fillId="0" borderId="0" xfId="0" applyFont="1"/>
    <xf numFmtId="0" fontId="9" fillId="0" borderId="0" xfId="0" applyFont="1" applyAlignment="1">
      <alignment vertical="center" wrapText="1"/>
    </xf>
    <xf numFmtId="10" fontId="9" fillId="0" borderId="0" xfId="2" applyNumberFormat="1" applyFont="1"/>
    <xf numFmtId="8" fontId="9" fillId="0" borderId="0" xfId="0" applyNumberFormat="1" applyFont="1"/>
    <xf numFmtId="0" fontId="0" fillId="6" borderId="0" xfId="0" applyFill="1"/>
    <xf numFmtId="0" fontId="0" fillId="0" borderId="0" xfId="0" applyAlignment="1">
      <alignment wrapText="1"/>
    </xf>
    <xf numFmtId="0" fontId="11" fillId="0" borderId="0" xfId="0" applyFont="1" applyAlignment="1">
      <alignment vertical="center"/>
    </xf>
    <xf numFmtId="0" fontId="0" fillId="0" borderId="0" xfId="0" applyAlignment="1">
      <alignment horizontal="left" vertical="center" indent="1"/>
    </xf>
    <xf numFmtId="0" fontId="7" fillId="0" borderId="0" xfId="0" applyFont="1"/>
    <xf numFmtId="17" fontId="7" fillId="0" borderId="0" xfId="0" applyNumberFormat="1" applyFont="1"/>
    <xf numFmtId="17" fontId="7" fillId="7" borderId="0" xfId="0" applyNumberFormat="1" applyFont="1" applyFill="1"/>
    <xf numFmtId="0" fontId="3" fillId="0" borderId="0" xfId="0" applyFont="1"/>
    <xf numFmtId="10" fontId="9" fillId="0" borderId="0" xfId="2" applyNumberFormat="1" applyFont="1" applyFill="1"/>
    <xf numFmtId="10" fontId="0" fillId="0" borderId="0" xfId="0" applyNumberFormat="1"/>
    <xf numFmtId="8" fontId="3" fillId="0" borderId="0" xfId="0" applyNumberFormat="1" applyFont="1"/>
    <xf numFmtId="0" fontId="0" fillId="0" borderId="1" xfId="0" applyBorder="1"/>
    <xf numFmtId="0" fontId="14" fillId="7" borderId="0" xfId="0" applyFont="1" applyFill="1"/>
    <xf numFmtId="43" fontId="3" fillId="0" borderId="0" xfId="1" applyFont="1" applyFill="1" applyBorder="1"/>
    <xf numFmtId="43" fontId="3" fillId="0" borderId="1" xfId="1" applyFont="1" applyBorder="1"/>
    <xf numFmtId="8" fontId="3" fillId="0" borderId="1" xfId="0" applyNumberFormat="1" applyFont="1" applyBorder="1"/>
    <xf numFmtId="43" fontId="3" fillId="0" borderId="1" xfId="1" applyFont="1" applyFill="1" applyBorder="1"/>
    <xf numFmtId="0" fontId="0" fillId="0" borderId="0" xfId="0" applyAlignment="1">
      <alignment horizontal="center"/>
    </xf>
    <xf numFmtId="17" fontId="15" fillId="8" borderId="0" xfId="0" applyNumberFormat="1" applyFont="1" applyFill="1" applyAlignment="1">
      <alignment horizontal="right" vertical="center" wrapText="1"/>
    </xf>
    <xf numFmtId="0" fontId="16" fillId="9" borderId="3" xfId="0" applyFont="1" applyFill="1" applyBorder="1" applyAlignment="1">
      <alignment horizontal="left" vertical="center" indent="2"/>
    </xf>
    <xf numFmtId="3" fontId="16" fillId="9" borderId="3" xfId="0" applyNumberFormat="1" applyFont="1" applyFill="1" applyBorder="1" applyAlignment="1">
      <alignment horizontal="right" vertical="center" wrapText="1"/>
    </xf>
    <xf numFmtId="0" fontId="16" fillId="9" borderId="3" xfId="0" applyFont="1" applyFill="1" applyBorder="1" applyAlignment="1">
      <alignment horizontal="left" vertical="center"/>
    </xf>
    <xf numFmtId="0" fontId="0" fillId="9" borderId="0" xfId="0" applyFill="1" applyAlignment="1">
      <alignment horizontal="left" vertical="center"/>
    </xf>
    <xf numFmtId="0" fontId="0" fillId="9" borderId="0" xfId="0" applyFill="1" applyAlignment="1">
      <alignment horizontal="right" vertical="center" wrapText="1"/>
    </xf>
    <xf numFmtId="0" fontId="16" fillId="9" borderId="3" xfId="0" applyFont="1" applyFill="1" applyBorder="1" applyAlignment="1">
      <alignment horizontal="right" vertical="center" wrapText="1"/>
    </xf>
    <xf numFmtId="3" fontId="0" fillId="9" borderId="0" xfId="0" applyNumberFormat="1" applyFill="1" applyAlignment="1">
      <alignment horizontal="right" vertical="center" wrapText="1"/>
    </xf>
    <xf numFmtId="0" fontId="16" fillId="8" borderId="3" xfId="0" applyFont="1" applyFill="1" applyBorder="1" applyAlignment="1">
      <alignment horizontal="left" vertical="center" indent="2"/>
    </xf>
    <xf numFmtId="0" fontId="16" fillId="8" borderId="3" xfId="0" applyFont="1" applyFill="1" applyBorder="1" applyAlignment="1">
      <alignment horizontal="right" vertical="center" wrapText="1"/>
    </xf>
    <xf numFmtId="3" fontId="16" fillId="8" borderId="3" xfId="0" applyNumberFormat="1" applyFont="1" applyFill="1" applyBorder="1" applyAlignment="1">
      <alignment horizontal="right" vertical="center" wrapText="1"/>
    </xf>
    <xf numFmtId="0" fontId="0" fillId="8" borderId="0" xfId="0" applyFill="1" applyAlignment="1">
      <alignment horizontal="left" vertical="center"/>
    </xf>
    <xf numFmtId="0" fontId="0" fillId="8" borderId="0" xfId="0" applyFill="1" applyAlignment="1">
      <alignment horizontal="right" vertical="center" wrapText="1"/>
    </xf>
    <xf numFmtId="3" fontId="0" fillId="8" borderId="0" xfId="0" applyNumberFormat="1" applyFill="1" applyAlignment="1">
      <alignment horizontal="right" vertical="center" wrapText="1"/>
    </xf>
    <xf numFmtId="0" fontId="18" fillId="9" borderId="0" xfId="0" applyFont="1" applyFill="1" applyAlignment="1">
      <alignment horizontal="left" vertical="center" indent="2"/>
    </xf>
    <xf numFmtId="0" fontId="18" fillId="9" borderId="0" xfId="0" applyFont="1" applyFill="1" applyAlignment="1">
      <alignment horizontal="right" vertical="center" wrapText="1"/>
    </xf>
    <xf numFmtId="3" fontId="18" fillId="9" borderId="0" xfId="0" applyNumberFormat="1" applyFont="1" applyFill="1" applyAlignment="1">
      <alignment horizontal="right" vertical="center" wrapText="1"/>
    </xf>
    <xf numFmtId="0" fontId="18" fillId="8" borderId="0" xfId="0" applyFont="1" applyFill="1" applyAlignment="1">
      <alignment horizontal="left" vertical="center" indent="2"/>
    </xf>
    <xf numFmtId="9" fontId="18" fillId="8" borderId="0" xfId="0" applyNumberFormat="1" applyFont="1" applyFill="1" applyAlignment="1">
      <alignment horizontal="right" vertical="center" wrapText="1"/>
    </xf>
    <xf numFmtId="0" fontId="19" fillId="0" borderId="0" xfId="0" applyFont="1" applyAlignment="1">
      <alignment vertical="center"/>
    </xf>
    <xf numFmtId="0" fontId="3" fillId="0" borderId="1" xfId="0" applyFont="1" applyBorder="1"/>
    <xf numFmtId="9" fontId="0" fillId="0" borderId="0" xfId="2" applyFont="1"/>
    <xf numFmtId="10" fontId="0" fillId="0" borderId="0" xfId="2" applyNumberFormat="1" applyFont="1"/>
    <xf numFmtId="0" fontId="3" fillId="0" borderId="0" xfId="0" applyFont="1" applyAlignment="1">
      <alignment horizontal="left" vertical="center" indent="1"/>
    </xf>
    <xf numFmtId="0" fontId="21" fillId="0" borderId="0" xfId="0" applyFont="1"/>
    <xf numFmtId="0" fontId="20" fillId="0" borderId="0" xfId="0" applyFont="1"/>
    <xf numFmtId="10" fontId="20" fillId="0" borderId="0" xfId="0" applyNumberFormat="1" applyFont="1"/>
    <xf numFmtId="0" fontId="20" fillId="0" borderId="1" xfId="0" applyFont="1" applyBorder="1"/>
    <xf numFmtId="10" fontId="20" fillId="0" borderId="1" xfId="2" applyNumberFormat="1" applyFont="1" applyBorder="1"/>
    <xf numFmtId="167" fontId="0" fillId="0" borderId="0" xfId="0" applyNumberFormat="1"/>
    <xf numFmtId="0" fontId="0" fillId="0" borderId="5" xfId="0" applyBorder="1"/>
    <xf numFmtId="10" fontId="0" fillId="0" borderId="5" xfId="2" applyNumberFormat="1" applyFont="1" applyBorder="1"/>
    <xf numFmtId="10" fontId="0" fillId="0" borderId="0" xfId="2" applyNumberFormat="1" applyFont="1" applyBorder="1"/>
    <xf numFmtId="0" fontId="0" fillId="0" borderId="6" xfId="0" applyBorder="1"/>
    <xf numFmtId="10" fontId="0" fillId="0" borderId="6" xfId="2" applyNumberFormat="1" applyFont="1" applyBorder="1"/>
    <xf numFmtId="10" fontId="0" fillId="0" borderId="6" xfId="0" applyNumberFormat="1" applyBorder="1"/>
    <xf numFmtId="166" fontId="0" fillId="0" borderId="0" xfId="0" applyNumberFormat="1"/>
    <xf numFmtId="166" fontId="0" fillId="0" borderId="5" xfId="0" applyNumberFormat="1" applyBorder="1"/>
    <xf numFmtId="166" fontId="0" fillId="0" borderId="6" xfId="0" applyNumberFormat="1" applyBorder="1"/>
    <xf numFmtId="0" fontId="8" fillId="5" borderId="0" xfId="0" applyFont="1" applyFill="1"/>
    <xf numFmtId="0" fontId="22" fillId="0" borderId="0" xfId="0" applyFont="1"/>
    <xf numFmtId="168" fontId="0" fillId="0" borderId="5" xfId="0" applyNumberFormat="1" applyBorder="1"/>
    <xf numFmtId="168" fontId="0" fillId="0" borderId="0" xfId="0" applyNumberFormat="1"/>
    <xf numFmtId="168" fontId="0" fillId="0" borderId="6" xfId="0" applyNumberFormat="1" applyBorder="1"/>
    <xf numFmtId="10" fontId="0" fillId="0" borderId="5" xfId="0" applyNumberFormat="1" applyBorder="1"/>
    <xf numFmtId="0" fontId="0" fillId="0" borderId="4" xfId="0" applyBorder="1"/>
    <xf numFmtId="3" fontId="0" fillId="0" borderId="0" xfId="0" applyNumberFormat="1"/>
    <xf numFmtId="0" fontId="4" fillId="5" borderId="0" xfId="0" applyFont="1" applyFill="1" applyAlignment="1">
      <alignment horizontal="center"/>
    </xf>
    <xf numFmtId="0" fontId="24" fillId="0" borderId="0" xfId="0" applyFont="1" applyAlignment="1">
      <alignment horizontal="center"/>
    </xf>
    <xf numFmtId="9" fontId="0" fillId="0" borderId="0" xfId="2" applyFont="1" applyAlignment="1">
      <alignment horizontal="center"/>
    </xf>
    <xf numFmtId="10" fontId="3" fillId="0" borderId="0" xfId="2" applyNumberFormat="1" applyFont="1"/>
    <xf numFmtId="0" fontId="13" fillId="0" borderId="0" xfId="0" applyFont="1"/>
    <xf numFmtId="0" fontId="25" fillId="0" borderId="0" xfId="0" applyFont="1" applyAlignment="1">
      <alignment vertical="center"/>
    </xf>
    <xf numFmtId="169" fontId="0" fillId="0" borderId="0" xfId="0" applyNumberFormat="1" applyAlignment="1">
      <alignment horizontal="center"/>
    </xf>
    <xf numFmtId="170" fontId="24" fillId="0" borderId="0" xfId="0" applyNumberFormat="1" applyFont="1" applyAlignment="1">
      <alignment horizontal="center"/>
    </xf>
    <xf numFmtId="170" fontId="0" fillId="0" borderId="0" xfId="0" applyNumberFormat="1" applyAlignment="1">
      <alignment horizontal="center"/>
    </xf>
    <xf numFmtId="0" fontId="0" fillId="0" borderId="7" xfId="0" applyBorder="1"/>
    <xf numFmtId="0" fontId="26" fillId="0" borderId="8" xfId="0" applyFont="1" applyBorder="1" applyAlignment="1">
      <alignment horizontal="center"/>
    </xf>
    <xf numFmtId="0" fontId="26" fillId="0" borderId="8" xfId="0" applyFont="1" applyBorder="1" applyAlignment="1">
      <alignment horizontal="centerContinuous"/>
    </xf>
    <xf numFmtId="0" fontId="3" fillId="0" borderId="7" xfId="0" applyFont="1" applyBorder="1"/>
    <xf numFmtId="1" fontId="0" fillId="0" borderId="0" xfId="0" applyNumberFormat="1" applyAlignment="1">
      <alignment horizontal="center"/>
    </xf>
    <xf numFmtId="172" fontId="0" fillId="0" borderId="0" xfId="0" applyNumberFormat="1" applyAlignment="1">
      <alignment horizontal="center"/>
    </xf>
    <xf numFmtId="0" fontId="4" fillId="5" borderId="0" xfId="0" applyFont="1" applyFill="1" applyAlignment="1">
      <alignment horizontal="right"/>
    </xf>
    <xf numFmtId="0" fontId="24" fillId="0" borderId="0" xfId="0" applyFont="1" applyAlignment="1">
      <alignment horizontal="right"/>
    </xf>
    <xf numFmtId="171" fontId="6" fillId="0" borderId="0" xfId="0" applyNumberFormat="1" applyFont="1" applyAlignment="1">
      <alignment horizontal="right"/>
    </xf>
    <xf numFmtId="2" fontId="6" fillId="0" borderId="0" xfId="0" applyNumberFormat="1" applyFont="1" applyAlignment="1">
      <alignment horizontal="right"/>
    </xf>
    <xf numFmtId="0" fontId="0" fillId="0" borderId="0" xfId="0" applyAlignment="1">
      <alignment horizontal="right"/>
    </xf>
    <xf numFmtId="171" fontId="0" fillId="0" borderId="0" xfId="0" applyNumberFormat="1" applyAlignment="1">
      <alignment horizontal="right"/>
    </xf>
    <xf numFmtId="10" fontId="0" fillId="0" borderId="0" xfId="2" applyNumberFormat="1" applyFont="1" applyAlignment="1">
      <alignment horizontal="right"/>
    </xf>
    <xf numFmtId="0" fontId="0" fillId="6" borderId="0" xfId="0" applyFill="1" applyAlignment="1">
      <alignment horizontal="right"/>
    </xf>
    <xf numFmtId="172" fontId="0" fillId="6" borderId="0" xfId="0" applyNumberFormat="1" applyFill="1" applyAlignment="1">
      <alignment horizontal="right"/>
    </xf>
    <xf numFmtId="2" fontId="6" fillId="6" borderId="0" xfId="0" applyNumberFormat="1" applyFont="1" applyFill="1" applyAlignment="1">
      <alignment horizontal="right"/>
    </xf>
    <xf numFmtId="10" fontId="0" fillId="6" borderId="0" xfId="2" applyNumberFormat="1" applyFont="1" applyFill="1" applyAlignment="1">
      <alignment horizontal="right"/>
    </xf>
    <xf numFmtId="171" fontId="0" fillId="0" borderId="0" xfId="0" applyNumberFormat="1"/>
    <xf numFmtId="10" fontId="0" fillId="6" borderId="0" xfId="2" applyNumberFormat="1" applyFont="1" applyFill="1"/>
    <xf numFmtId="172" fontId="0" fillId="6" borderId="0" xfId="0" applyNumberFormat="1" applyFill="1"/>
    <xf numFmtId="2" fontId="0" fillId="6" borderId="0" xfId="0" applyNumberFormat="1" applyFill="1"/>
    <xf numFmtId="0" fontId="0" fillId="10" borderId="0" xfId="0" applyFill="1"/>
    <xf numFmtId="171" fontId="0" fillId="10" borderId="0" xfId="0" applyNumberFormat="1" applyFill="1"/>
    <xf numFmtId="10" fontId="0" fillId="10" borderId="0" xfId="2" applyNumberFormat="1" applyFont="1" applyFill="1"/>
    <xf numFmtId="0" fontId="26" fillId="0" borderId="0" xfId="0" applyFont="1"/>
    <xf numFmtId="0" fontId="0" fillId="0" borderId="9" xfId="0" applyBorder="1"/>
    <xf numFmtId="0" fontId="0" fillId="0" borderId="9" xfId="0" applyBorder="1" applyAlignment="1">
      <alignment vertical="top"/>
    </xf>
    <xf numFmtId="0" fontId="30" fillId="0" borderId="0" xfId="5" applyFont="1"/>
    <xf numFmtId="0" fontId="32" fillId="0" borderId="0" xfId="0" applyFont="1"/>
    <xf numFmtId="10" fontId="0" fillId="12" borderId="0" xfId="2" applyNumberFormat="1" applyFont="1" applyFill="1"/>
    <xf numFmtId="2" fontId="0" fillId="12" borderId="0" xfId="0" applyNumberFormat="1" applyFill="1"/>
    <xf numFmtId="9" fontId="0" fillId="0" borderId="0" xfId="0" applyNumberFormat="1"/>
    <xf numFmtId="0" fontId="0" fillId="0" borderId="11" xfId="0" applyBorder="1"/>
    <xf numFmtId="0" fontId="0" fillId="0" borderId="12" xfId="0" applyBorder="1"/>
    <xf numFmtId="173" fontId="0" fillId="12" borderId="0" xfId="0" applyNumberFormat="1" applyFill="1"/>
    <xf numFmtId="0" fontId="33" fillId="5" borderId="0" xfId="0" applyFont="1" applyFill="1" applyAlignment="1">
      <alignment horizontal="center"/>
    </xf>
    <xf numFmtId="0" fontId="34" fillId="0" borderId="0" xfId="0" applyFont="1"/>
    <xf numFmtId="0" fontId="0" fillId="0" borderId="0" xfId="0" applyAlignment="1">
      <alignment vertical="center"/>
    </xf>
    <xf numFmtId="0" fontId="35" fillId="0" borderId="0" xfId="0" applyFont="1" applyAlignment="1">
      <alignment vertical="center"/>
    </xf>
    <xf numFmtId="9" fontId="3" fillId="0" borderId="10" xfId="2" applyFont="1" applyBorder="1"/>
    <xf numFmtId="9" fontId="0" fillId="0" borderId="12" xfId="0" applyNumberFormat="1" applyBorder="1"/>
    <xf numFmtId="2" fontId="0" fillId="0" borderId="0" xfId="0" applyNumberFormat="1"/>
    <xf numFmtId="173" fontId="0" fillId="0" borderId="0" xfId="0" applyNumberFormat="1"/>
    <xf numFmtId="2" fontId="0" fillId="12" borderId="12" xfId="0" applyNumberFormat="1" applyFill="1" applyBorder="1"/>
    <xf numFmtId="0" fontId="36" fillId="0" borderId="0" xfId="0" applyFont="1"/>
    <xf numFmtId="0" fontId="36" fillId="0" borderId="0" xfId="0" applyFont="1" applyAlignment="1">
      <alignment vertical="top"/>
    </xf>
    <xf numFmtId="0" fontId="37" fillId="0" borderId="13" xfId="0" applyFont="1" applyBorder="1" applyAlignment="1">
      <alignment horizontal="left"/>
    </xf>
    <xf numFmtId="0" fontId="37" fillId="0" borderId="13" xfId="0" applyFont="1" applyBorder="1" applyAlignment="1">
      <alignment horizontal="right"/>
    </xf>
    <xf numFmtId="14" fontId="0" fillId="0" borderId="0" xfId="0" applyNumberFormat="1" applyAlignment="1">
      <alignment horizontal="left"/>
    </xf>
    <xf numFmtId="175" fontId="0" fillId="0" borderId="0" xfId="0" applyNumberFormat="1" applyAlignment="1">
      <alignment horizontal="right"/>
    </xf>
    <xf numFmtId="175" fontId="0" fillId="0" borderId="0" xfId="0" applyNumberFormat="1"/>
    <xf numFmtId="176" fontId="0" fillId="0" borderId="0" xfId="0" applyNumberFormat="1"/>
    <xf numFmtId="0" fontId="3" fillId="12" borderId="0" xfId="0" applyFont="1" applyFill="1"/>
    <xf numFmtId="0" fontId="3" fillId="12" borderId="9" xfId="0" applyFont="1" applyFill="1" applyBorder="1"/>
    <xf numFmtId="10" fontId="3" fillId="12" borderId="9" xfId="0" applyNumberFormat="1" applyFont="1" applyFill="1" applyBorder="1"/>
    <xf numFmtId="9" fontId="3" fillId="12" borderId="9" xfId="2" applyFont="1" applyFill="1" applyBorder="1"/>
    <xf numFmtId="2" fontId="3" fillId="12" borderId="9" xfId="0" applyNumberFormat="1" applyFont="1" applyFill="1" applyBorder="1"/>
    <xf numFmtId="0" fontId="3" fillId="12" borderId="7" xfId="0" applyFont="1" applyFill="1" applyBorder="1"/>
    <xf numFmtId="10" fontId="3" fillId="12" borderId="7" xfId="0" applyNumberFormat="1" applyFont="1" applyFill="1" applyBorder="1"/>
    <xf numFmtId="9" fontId="3" fillId="12" borderId="7" xfId="2" applyFont="1" applyFill="1" applyBorder="1"/>
    <xf numFmtId="2" fontId="3" fillId="12" borderId="7" xfId="0" applyNumberFormat="1" applyFont="1" applyFill="1" applyBorder="1"/>
    <xf numFmtId="0" fontId="0" fillId="12" borderId="0" xfId="0" applyFill="1"/>
    <xf numFmtId="0" fontId="0" fillId="12" borderId="12" xfId="0" applyFill="1" applyBorder="1"/>
    <xf numFmtId="174" fontId="0" fillId="0" borderId="0" xfId="0" applyNumberFormat="1"/>
    <xf numFmtId="168" fontId="6" fillId="0" borderId="0" xfId="0" applyNumberFormat="1" applyFont="1"/>
    <xf numFmtId="9" fontId="6" fillId="0" borderId="0" xfId="0" applyNumberFormat="1" applyFont="1"/>
    <xf numFmtId="0" fontId="0" fillId="0" borderId="0" xfId="0" applyAlignment="1">
      <alignment vertical="top" wrapText="1"/>
    </xf>
    <xf numFmtId="4" fontId="0" fillId="0" borderId="0" xfId="0" applyNumberFormat="1"/>
    <xf numFmtId="0" fontId="0" fillId="0" borderId="2" xfId="0" applyBorder="1"/>
    <xf numFmtId="2" fontId="0" fillId="0" borderId="2" xfId="0" applyNumberFormat="1" applyBorder="1"/>
    <xf numFmtId="0" fontId="27" fillId="0" borderId="0" xfId="0" applyFont="1"/>
    <xf numFmtId="2" fontId="3" fillId="12" borderId="0" xfId="0" applyNumberFormat="1" applyFont="1" applyFill="1"/>
    <xf numFmtId="0" fontId="39" fillId="0" borderId="0" xfId="0" applyFont="1"/>
    <xf numFmtId="2" fontId="3" fillId="0" borderId="0" xfId="0" applyNumberFormat="1" applyFont="1"/>
    <xf numFmtId="0" fontId="0" fillId="0" borderId="0" xfId="0" applyAlignment="1">
      <alignment vertical="top"/>
    </xf>
    <xf numFmtId="168" fontId="0" fillId="0" borderId="12" xfId="0" applyNumberFormat="1" applyBorder="1"/>
    <xf numFmtId="0" fontId="31" fillId="0" borderId="0" xfId="0" applyFont="1"/>
    <xf numFmtId="10" fontId="40" fillId="0" borderId="0" xfId="5" applyNumberFormat="1" applyFont="1" applyAlignment="1">
      <alignment vertical="top"/>
    </xf>
    <xf numFmtId="168" fontId="40" fillId="0" borderId="0" xfId="5" applyNumberFormat="1" applyFont="1"/>
    <xf numFmtId="10" fontId="31" fillId="0" borderId="0" xfId="2" applyNumberFormat="1" applyFont="1"/>
    <xf numFmtId="9" fontId="6" fillId="0" borderId="11" xfId="0" applyNumberFormat="1" applyFont="1" applyBorder="1"/>
    <xf numFmtId="10" fontId="0" fillId="12" borderId="12" xfId="2" applyNumberFormat="1" applyFont="1" applyFill="1" applyBorder="1"/>
    <xf numFmtId="0" fontId="25" fillId="0" borderId="0" xfId="0" applyFont="1"/>
    <xf numFmtId="10" fontId="6" fillId="0" borderId="0" xfId="2" applyNumberFormat="1" applyFont="1"/>
    <xf numFmtId="10" fontId="6" fillId="0" borderId="0" xfId="0" applyNumberFormat="1" applyFont="1"/>
    <xf numFmtId="10" fontId="0" fillId="0" borderId="0" xfId="2" applyNumberFormat="1" applyFont="1" applyAlignment="1"/>
    <xf numFmtId="0" fontId="3" fillId="0" borderId="0" xfId="0" applyFont="1" applyAlignment="1">
      <alignment wrapText="1"/>
    </xf>
    <xf numFmtId="0" fontId="12" fillId="0" borderId="0" xfId="0" applyFont="1"/>
    <xf numFmtId="0" fontId="10" fillId="0" borderId="0" xfId="0" applyFont="1" applyAlignment="1">
      <alignment vertical="center"/>
    </xf>
    <xf numFmtId="177" fontId="0" fillId="0" borderId="0" xfId="0" applyNumberFormat="1"/>
    <xf numFmtId="177" fontId="3" fillId="0" borderId="1" xfId="0" applyNumberFormat="1" applyFont="1" applyBorder="1"/>
    <xf numFmtId="177" fontId="0" fillId="0" borderId="1" xfId="0" applyNumberFormat="1" applyBorder="1"/>
    <xf numFmtId="0" fontId="3" fillId="14" borderId="0" xfId="0" applyFont="1" applyFill="1"/>
    <xf numFmtId="17" fontId="3" fillId="14" borderId="0" xfId="0" applyNumberFormat="1" applyFont="1" applyFill="1"/>
    <xf numFmtId="3" fontId="3" fillId="0" borderId="0" xfId="0" applyNumberFormat="1" applyFont="1"/>
    <xf numFmtId="3" fontId="3" fillId="14" borderId="0" xfId="0" applyNumberFormat="1" applyFont="1" applyFill="1"/>
    <xf numFmtId="178" fontId="0" fillId="0" borderId="14" xfId="0" applyNumberFormat="1" applyBorder="1"/>
    <xf numFmtId="0" fontId="3" fillId="0" borderId="15" xfId="0" applyFont="1" applyBorder="1"/>
    <xf numFmtId="3" fontId="0" fillId="0" borderId="15" xfId="0" applyNumberFormat="1" applyBorder="1"/>
    <xf numFmtId="0" fontId="19" fillId="0" borderId="0" xfId="0" applyFont="1"/>
    <xf numFmtId="0" fontId="3" fillId="16" borderId="0" xfId="0" applyFont="1" applyFill="1"/>
    <xf numFmtId="0" fontId="3" fillId="16" borderId="0" xfId="0" applyFont="1" applyFill="1" applyAlignment="1">
      <alignment wrapText="1"/>
    </xf>
    <xf numFmtId="17" fontId="3" fillId="16" borderId="0" xfId="0" applyNumberFormat="1" applyFont="1" applyFill="1"/>
    <xf numFmtId="0" fontId="3" fillId="0" borderId="16" xfId="0" applyFont="1" applyBorder="1"/>
    <xf numFmtId="3" fontId="3" fillId="16" borderId="0" xfId="0" applyNumberFormat="1" applyFont="1" applyFill="1"/>
    <xf numFmtId="0" fontId="0" fillId="16" borderId="0" xfId="0" applyFill="1"/>
    <xf numFmtId="17" fontId="3" fillId="12" borderId="0" xfId="0" applyNumberFormat="1" applyFont="1" applyFill="1"/>
    <xf numFmtId="3" fontId="0" fillId="12" borderId="0" xfId="0" applyNumberFormat="1" applyFill="1"/>
    <xf numFmtId="3" fontId="3" fillId="12" borderId="0" xfId="0" applyNumberFormat="1" applyFont="1" applyFill="1"/>
    <xf numFmtId="10" fontId="3" fillId="14" borderId="0" xfId="2" applyNumberFormat="1" applyFont="1" applyFill="1"/>
    <xf numFmtId="9" fontId="31" fillId="0" borderId="0" xfId="0" applyNumberFormat="1" applyFont="1"/>
    <xf numFmtId="0" fontId="3" fillId="17" borderId="0" xfId="0" applyFont="1" applyFill="1"/>
    <xf numFmtId="10" fontId="3" fillId="17" borderId="0" xfId="0" applyNumberFormat="1" applyFont="1" applyFill="1"/>
    <xf numFmtId="10" fontId="3" fillId="16" borderId="0" xfId="2" applyNumberFormat="1" applyFont="1" applyFill="1"/>
    <xf numFmtId="0" fontId="42" fillId="5" borderId="0" xfId="0" applyFont="1" applyFill="1"/>
    <xf numFmtId="179" fontId="42" fillId="5" borderId="0" xfId="0" applyNumberFormat="1" applyFont="1" applyFill="1"/>
    <xf numFmtId="180" fontId="42" fillId="5" borderId="0" xfId="0" applyNumberFormat="1" applyFont="1" applyFill="1"/>
    <xf numFmtId="0" fontId="0" fillId="0" borderId="18" xfId="0" applyBorder="1"/>
    <xf numFmtId="0" fontId="0" fillId="0" borderId="19" xfId="0" applyBorder="1"/>
    <xf numFmtId="9" fontId="0" fillId="0" borderId="19" xfId="0" applyNumberFormat="1" applyBorder="1"/>
    <xf numFmtId="10" fontId="0" fillId="0" borderId="19" xfId="0" applyNumberFormat="1" applyBorder="1"/>
    <xf numFmtId="10" fontId="32" fillId="0" borderId="19" xfId="0" applyNumberFormat="1" applyFont="1" applyBorder="1"/>
    <xf numFmtId="0" fontId="32" fillId="0" borderId="19" xfId="0" applyFont="1" applyBorder="1"/>
    <xf numFmtId="0" fontId="0" fillId="0" borderId="20" xfId="0" applyBorder="1"/>
    <xf numFmtId="9" fontId="32" fillId="12" borderId="0" xfId="0" applyNumberFormat="1" applyFont="1" applyFill="1"/>
    <xf numFmtId="3" fontId="0" fillId="12" borderId="18" xfId="0" applyNumberFormat="1" applyFill="1" applyBorder="1"/>
    <xf numFmtId="9" fontId="32" fillId="12" borderId="19" xfId="0" applyNumberFormat="1" applyFont="1" applyFill="1" applyBorder="1"/>
    <xf numFmtId="0" fontId="0" fillId="12" borderId="19" xfId="0" applyFill="1" applyBorder="1"/>
    <xf numFmtId="10" fontId="0" fillId="12" borderId="19" xfId="0" applyNumberFormat="1" applyFill="1" applyBorder="1"/>
    <xf numFmtId="0" fontId="0" fillId="12" borderId="20" xfId="0" applyFill="1" applyBorder="1"/>
    <xf numFmtId="181" fontId="0" fillId="0" borderId="20" xfId="0" applyNumberFormat="1" applyBorder="1"/>
    <xf numFmtId="0" fontId="3" fillId="0" borderId="19" xfId="0" applyFont="1" applyBorder="1"/>
    <xf numFmtId="0" fontId="3" fillId="12" borderId="19" xfId="0" applyFont="1" applyFill="1" applyBorder="1"/>
    <xf numFmtId="0" fontId="3" fillId="19" borderId="17" xfId="0" applyFont="1" applyFill="1" applyBorder="1"/>
    <xf numFmtId="0" fontId="3" fillId="20" borderId="0" xfId="0" applyFont="1" applyFill="1"/>
    <xf numFmtId="0" fontId="3" fillId="20" borderId="21" xfId="0" applyFont="1" applyFill="1" applyBorder="1" applyAlignment="1">
      <alignment horizontal="left" vertical="center"/>
    </xf>
    <xf numFmtId="0" fontId="3" fillId="20" borderId="22" xfId="0" applyFont="1" applyFill="1" applyBorder="1" applyAlignment="1">
      <alignment horizontal="left" vertical="center"/>
    </xf>
    <xf numFmtId="0" fontId="0" fillId="0" borderId="23"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3" fillId="20" borderId="21" xfId="0" applyFont="1" applyFill="1" applyBorder="1" applyAlignment="1">
      <alignment horizontal="left" vertical="center" wrapText="1"/>
    </xf>
    <xf numFmtId="0" fontId="3" fillId="20" borderId="22" xfId="0" applyFont="1" applyFill="1" applyBorder="1" applyAlignment="1">
      <alignment horizontal="left" vertical="center" wrapText="1"/>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0" fillId="0" borderId="26" xfId="0" applyBorder="1" applyAlignment="1">
      <alignment vertical="center"/>
    </xf>
    <xf numFmtId="0" fontId="3" fillId="20" borderId="21" xfId="0" applyFont="1" applyFill="1" applyBorder="1" applyAlignment="1">
      <alignment horizontal="center" vertical="center"/>
    </xf>
    <xf numFmtId="0" fontId="3" fillId="20" borderId="22" xfId="0" applyFont="1" applyFill="1" applyBorder="1" applyAlignment="1">
      <alignment horizontal="center" vertical="center"/>
    </xf>
    <xf numFmtId="8" fontId="43" fillId="0" borderId="0" xfId="0" applyNumberFormat="1" applyFont="1"/>
    <xf numFmtId="8" fontId="22" fillId="0" borderId="0" xfId="0" applyNumberFormat="1" applyFont="1"/>
    <xf numFmtId="10" fontId="9" fillId="0" borderId="0" xfId="0" applyNumberFormat="1" applyFont="1"/>
    <xf numFmtId="0" fontId="44" fillId="0" borderId="0" xfId="0" applyFont="1"/>
    <xf numFmtId="0" fontId="45" fillId="0" borderId="0" xfId="0" applyFont="1"/>
    <xf numFmtId="0" fontId="45" fillId="0" borderId="0" xfId="0" applyFont="1" applyAlignment="1">
      <alignment vertical="top"/>
    </xf>
    <xf numFmtId="0" fontId="0" fillId="5" borderId="0" xfId="0" applyFill="1"/>
    <xf numFmtId="0" fontId="27" fillId="5" borderId="0" xfId="0" applyFont="1" applyFill="1"/>
    <xf numFmtId="0" fontId="4" fillId="5" borderId="0" xfId="0" applyFont="1" applyFill="1"/>
    <xf numFmtId="0" fontId="4" fillId="0" borderId="0" xfId="0" applyFont="1"/>
    <xf numFmtId="8" fontId="13" fillId="0" borderId="0" xfId="0" applyNumberFormat="1" applyFont="1"/>
    <xf numFmtId="10" fontId="20" fillId="0" borderId="1" xfId="2" applyNumberFormat="1" applyFont="1" applyFill="1" applyBorder="1"/>
    <xf numFmtId="10" fontId="13" fillId="0" borderId="0" xfId="0" applyNumberFormat="1" applyFont="1"/>
    <xf numFmtId="10" fontId="47" fillId="0" borderId="0" xfId="2" applyNumberFormat="1" applyFont="1" applyFill="1"/>
    <xf numFmtId="0" fontId="0" fillId="0" borderId="0" xfId="0" applyAlignment="1">
      <alignment horizontal="left"/>
    </xf>
    <xf numFmtId="0" fontId="48" fillId="5" borderId="0" xfId="0" applyFont="1" applyFill="1"/>
    <xf numFmtId="0" fontId="48" fillId="0" borderId="0" xfId="0" applyFont="1"/>
    <xf numFmtId="0" fontId="0" fillId="0" borderId="19" xfId="0" applyBorder="1" applyAlignment="1">
      <alignment horizontal="left"/>
    </xf>
    <xf numFmtId="8" fontId="0" fillId="0" borderId="19" xfId="0" applyNumberFormat="1" applyBorder="1"/>
    <xf numFmtId="0" fontId="0" fillId="0" borderId="28" xfId="0" applyBorder="1"/>
    <xf numFmtId="0" fontId="0" fillId="0" borderId="29" xfId="0" applyBorder="1"/>
    <xf numFmtId="0" fontId="3" fillId="0" borderId="28" xfId="0" applyFont="1" applyBorder="1"/>
    <xf numFmtId="0" fontId="0" fillId="0" borderId="31" xfId="0" applyBorder="1"/>
    <xf numFmtId="0" fontId="0" fillId="0" borderId="30" xfId="0" applyBorder="1"/>
    <xf numFmtId="0" fontId="0" fillId="0" borderId="27" xfId="0" applyBorder="1"/>
    <xf numFmtId="0" fontId="3" fillId="0" borderId="29" xfId="0" applyFont="1" applyBorder="1"/>
    <xf numFmtId="0" fontId="3" fillId="0" borderId="27" xfId="0" applyFont="1" applyBorder="1"/>
    <xf numFmtId="0" fontId="0" fillId="0" borderId="33" xfId="0" applyBorder="1"/>
    <xf numFmtId="0" fontId="0" fillId="0" borderId="34" xfId="0" applyBorder="1"/>
    <xf numFmtId="8" fontId="0" fillId="0" borderId="34" xfId="0" applyNumberFormat="1" applyBorder="1"/>
    <xf numFmtId="0" fontId="44" fillId="0" borderId="31" xfId="0" applyFont="1" applyBorder="1" applyAlignment="1">
      <alignment horizontal="left"/>
    </xf>
    <xf numFmtId="0" fontId="44" fillId="0" borderId="31" xfId="0" applyFont="1" applyBorder="1"/>
    <xf numFmtId="9" fontId="44" fillId="0" borderId="31" xfId="2" applyFont="1" applyBorder="1"/>
    <xf numFmtId="9" fontId="44" fillId="0" borderId="31" xfId="2" applyFont="1" applyFill="1" applyBorder="1"/>
    <xf numFmtId="0" fontId="0" fillId="21" borderId="32" xfId="0" applyFill="1" applyBorder="1"/>
    <xf numFmtId="8" fontId="0" fillId="21" borderId="35" xfId="0" applyNumberFormat="1" applyFill="1" applyBorder="1"/>
    <xf numFmtId="8" fontId="0" fillId="21" borderId="32" xfId="0" applyNumberFormat="1" applyFill="1" applyBorder="1"/>
    <xf numFmtId="0" fontId="44" fillId="0" borderId="0" xfId="0" applyFont="1" applyAlignment="1">
      <alignment horizontal="left"/>
    </xf>
    <xf numFmtId="9" fontId="44" fillId="0" borderId="0" xfId="0" applyNumberFormat="1" applyFont="1"/>
    <xf numFmtId="0" fontId="0" fillId="21" borderId="31" xfId="0" applyFill="1" applyBorder="1"/>
    <xf numFmtId="8" fontId="0" fillId="21" borderId="31" xfId="0" applyNumberFormat="1" applyFill="1" applyBorder="1"/>
    <xf numFmtId="10" fontId="3" fillId="12" borderId="12" xfId="0" applyNumberFormat="1" applyFont="1" applyFill="1" applyBorder="1"/>
    <xf numFmtId="0" fontId="50" fillId="5" borderId="0" xfId="0" applyFont="1" applyFill="1"/>
    <xf numFmtId="0" fontId="52" fillId="0" borderId="0" xfId="0" applyFont="1"/>
    <xf numFmtId="0" fontId="3" fillId="21" borderId="38" xfId="0" applyFont="1" applyFill="1" applyBorder="1"/>
    <xf numFmtId="8" fontId="3" fillId="21" borderId="38" xfId="0" applyNumberFormat="1" applyFont="1" applyFill="1" applyBorder="1"/>
    <xf numFmtId="0" fontId="3" fillId="21" borderId="30" xfId="0" applyFont="1" applyFill="1" applyBorder="1"/>
    <xf numFmtId="8" fontId="3" fillId="21" borderId="30" xfId="0" applyNumberFormat="1" applyFont="1" applyFill="1" applyBorder="1"/>
    <xf numFmtId="8" fontId="0" fillId="0" borderId="37" xfId="0" applyNumberFormat="1" applyBorder="1"/>
    <xf numFmtId="43" fontId="0" fillId="0" borderId="19" xfId="0" applyNumberFormat="1" applyBorder="1"/>
    <xf numFmtId="0" fontId="3" fillId="21" borderId="30" xfId="0" applyFont="1" applyFill="1" applyBorder="1" applyAlignment="1">
      <alignment horizontal="left"/>
    </xf>
    <xf numFmtId="0" fontId="49" fillId="5" borderId="0" xfId="0" applyFont="1" applyFill="1"/>
    <xf numFmtId="169" fontId="2" fillId="5" borderId="0" xfId="0" applyNumberFormat="1" applyFont="1" applyFill="1"/>
    <xf numFmtId="0" fontId="3" fillId="21" borderId="31" xfId="0" applyFont="1" applyFill="1" applyBorder="1"/>
    <xf numFmtId="8" fontId="3" fillId="21" borderId="31" xfId="0" applyNumberFormat="1" applyFont="1" applyFill="1" applyBorder="1"/>
    <xf numFmtId="0" fontId="0" fillId="0" borderId="39" xfId="0" applyBorder="1"/>
    <xf numFmtId="8" fontId="0" fillId="0" borderId="20" xfId="0" applyNumberFormat="1" applyBorder="1"/>
    <xf numFmtId="8" fontId="0" fillId="21" borderId="40" xfId="0" applyNumberFormat="1" applyFill="1" applyBorder="1"/>
    <xf numFmtId="8" fontId="0" fillId="21" borderId="42" xfId="0" applyNumberFormat="1" applyFill="1" applyBorder="1"/>
    <xf numFmtId="8" fontId="0" fillId="0" borderId="36" xfId="0" applyNumberFormat="1" applyBorder="1"/>
    <xf numFmtId="8" fontId="0" fillId="0" borderId="27" xfId="0" applyNumberFormat="1" applyBorder="1"/>
    <xf numFmtId="8" fontId="0" fillId="0" borderId="43" xfId="0" applyNumberFormat="1" applyBorder="1"/>
    <xf numFmtId="9" fontId="44" fillId="0" borderId="44" xfId="2" applyFont="1" applyBorder="1"/>
    <xf numFmtId="8" fontId="0" fillId="21" borderId="44" xfId="0" applyNumberFormat="1" applyFill="1" applyBorder="1"/>
    <xf numFmtId="8" fontId="0" fillId="0" borderId="45" xfId="0" applyNumberFormat="1" applyBorder="1"/>
    <xf numFmtId="10" fontId="0" fillId="0" borderId="43" xfId="0" applyNumberFormat="1" applyBorder="1"/>
    <xf numFmtId="8" fontId="3" fillId="21" borderId="45" xfId="0" applyNumberFormat="1" applyFont="1" applyFill="1" applyBorder="1"/>
    <xf numFmtId="0" fontId="50" fillId="0" borderId="0" xfId="0" applyFont="1"/>
    <xf numFmtId="0" fontId="0" fillId="0" borderId="37" xfId="0" applyBorder="1" applyAlignment="1">
      <alignment horizontal="left"/>
    </xf>
    <xf numFmtId="0" fontId="3" fillId="21" borderId="38" xfId="0" applyFont="1" applyFill="1" applyBorder="1" applyAlignment="1">
      <alignment horizontal="left"/>
    </xf>
    <xf numFmtId="0" fontId="3" fillId="21" borderId="20" xfId="0" applyFont="1" applyFill="1" applyBorder="1"/>
    <xf numFmtId="9" fontId="3" fillId="21" borderId="20" xfId="2" applyFont="1" applyFill="1" applyBorder="1"/>
    <xf numFmtId="0" fontId="3" fillId="22" borderId="47" xfId="0" applyFont="1" applyFill="1" applyBorder="1"/>
    <xf numFmtId="0" fontId="0" fillId="21" borderId="48" xfId="0" applyFill="1" applyBorder="1"/>
    <xf numFmtId="6" fontId="53" fillId="22" borderId="47" xfId="0" applyNumberFormat="1" applyFont="1" applyFill="1" applyBorder="1"/>
    <xf numFmtId="170" fontId="54" fillId="5" borderId="0" xfId="0" applyNumberFormat="1" applyFont="1" applyFill="1"/>
    <xf numFmtId="9" fontId="55" fillId="0" borderId="41" xfId="0" applyNumberFormat="1" applyFont="1" applyBorder="1"/>
    <xf numFmtId="9" fontId="55" fillId="0" borderId="33" xfId="0" applyNumberFormat="1" applyFont="1" applyBorder="1"/>
    <xf numFmtId="9" fontId="31" fillId="0" borderId="27" xfId="0" applyNumberFormat="1" applyFont="1" applyBorder="1"/>
    <xf numFmtId="9" fontId="31" fillId="0" borderId="29" xfId="0" applyNumberFormat="1" applyFont="1" applyBorder="1"/>
    <xf numFmtId="173" fontId="31" fillId="0" borderId="27" xfId="0" applyNumberFormat="1" applyFont="1" applyBorder="1"/>
    <xf numFmtId="9" fontId="55" fillId="0" borderId="36" xfId="0" applyNumberFormat="1" applyFont="1" applyBorder="1"/>
    <xf numFmtId="0" fontId="31" fillId="0" borderId="27" xfId="0" applyFont="1" applyBorder="1"/>
    <xf numFmtId="10" fontId="31" fillId="21" borderId="48" xfId="0" applyNumberFormat="1" applyFont="1" applyFill="1" applyBorder="1"/>
    <xf numFmtId="9" fontId="31" fillId="21" borderId="48" xfId="0" applyNumberFormat="1" applyFont="1" applyFill="1" applyBorder="1"/>
    <xf numFmtId="9" fontId="31" fillId="22" borderId="46" xfId="0" applyNumberFormat="1" applyFont="1" applyFill="1" applyBorder="1"/>
    <xf numFmtId="182" fontId="0" fillId="0" borderId="0" xfId="0" applyNumberFormat="1"/>
    <xf numFmtId="9" fontId="31" fillId="22" borderId="49" xfId="0" applyNumberFormat="1" applyFont="1" applyFill="1" applyBorder="1"/>
    <xf numFmtId="2" fontId="0" fillId="0" borderId="10" xfId="0" applyNumberFormat="1" applyBorder="1"/>
    <xf numFmtId="2" fontId="6" fillId="0" borderId="0" xfId="0" applyNumberFormat="1" applyFont="1"/>
    <xf numFmtId="2" fontId="22" fillId="0" borderId="0" xfId="0" applyNumberFormat="1" applyFont="1"/>
    <xf numFmtId="0" fontId="0" fillId="0" borderId="50" xfId="0" applyBorder="1"/>
    <xf numFmtId="0" fontId="0" fillId="0" borderId="53" xfId="0" applyBorder="1"/>
    <xf numFmtId="3" fontId="0" fillId="0" borderId="27" xfId="0" applyNumberFormat="1" applyBorder="1"/>
    <xf numFmtId="3" fontId="0" fillId="0" borderId="54" xfId="0" applyNumberFormat="1" applyBorder="1"/>
    <xf numFmtId="0" fontId="0" fillId="0" borderId="54" xfId="0" applyBorder="1"/>
    <xf numFmtId="0" fontId="0" fillId="0" borderId="55" xfId="0" applyBorder="1"/>
    <xf numFmtId="0" fontId="0" fillId="0" borderId="45" xfId="0" applyBorder="1"/>
    <xf numFmtId="0" fontId="0" fillId="0" borderId="56" xfId="0" applyBorder="1"/>
    <xf numFmtId="0" fontId="56" fillId="5" borderId="51" xfId="0" applyFont="1" applyFill="1" applyBorder="1"/>
    <xf numFmtId="0" fontId="56" fillId="5" borderId="52" xfId="0" applyFont="1" applyFill="1" applyBorder="1"/>
    <xf numFmtId="0" fontId="0" fillId="0" borderId="53" xfId="0" applyBorder="1" applyAlignment="1">
      <alignment wrapText="1"/>
    </xf>
    <xf numFmtId="0" fontId="3" fillId="21" borderId="53" xfId="0" applyFont="1" applyFill="1" applyBorder="1"/>
    <xf numFmtId="0" fontId="3" fillId="21" borderId="27" xfId="0" applyFont="1" applyFill="1" applyBorder="1"/>
    <xf numFmtId="0" fontId="3" fillId="21" borderId="54" xfId="0" applyFont="1" applyFill="1" applyBorder="1"/>
    <xf numFmtId="173" fontId="31" fillId="0" borderId="29" xfId="0" applyNumberFormat="1" applyFont="1" applyBorder="1"/>
    <xf numFmtId="0" fontId="27" fillId="5" borderId="0" xfId="0" applyFont="1" applyFill="1" applyAlignment="1">
      <alignment horizontal="center"/>
    </xf>
    <xf numFmtId="0" fontId="27" fillId="11" borderId="0" xfId="0" applyFont="1" applyFill="1" applyAlignment="1">
      <alignment horizontal="center"/>
    </xf>
    <xf numFmtId="0" fontId="33" fillId="5" borderId="0" xfId="0" applyFont="1" applyFill="1" applyAlignment="1">
      <alignment horizontal="center"/>
    </xf>
    <xf numFmtId="0" fontId="34" fillId="5" borderId="0" xfId="0" applyFont="1" applyFill="1" applyAlignment="1">
      <alignment horizontal="center"/>
    </xf>
    <xf numFmtId="43" fontId="5" fillId="0" borderId="0" xfId="4" applyNumberFormat="1" applyBorder="1" applyAlignment="1" applyProtection="1">
      <alignment horizontal="center"/>
    </xf>
    <xf numFmtId="43" fontId="2" fillId="2" borderId="0" xfId="3" applyNumberFormat="1" applyFont="1" applyBorder="1" applyAlignment="1">
      <alignment horizontal="center"/>
    </xf>
    <xf numFmtId="0" fontId="8" fillId="5" borderId="0" xfId="0" applyFont="1" applyFill="1" applyAlignment="1">
      <alignment horizontal="center"/>
    </xf>
    <xf numFmtId="0" fontId="27" fillId="4" borderId="0" xfId="0" applyFont="1" applyFill="1" applyAlignment="1">
      <alignment horizontal="center"/>
    </xf>
    <xf numFmtId="0" fontId="7" fillId="4" borderId="0" xfId="0" applyFont="1" applyFill="1" applyAlignment="1">
      <alignment horizontal="center"/>
    </xf>
    <xf numFmtId="0" fontId="23" fillId="5" borderId="0" xfId="0" applyFont="1" applyFill="1" applyAlignment="1">
      <alignment horizontal="center"/>
    </xf>
    <xf numFmtId="0" fontId="38" fillId="13" borderId="0" xfId="0" applyFont="1" applyFill="1" applyAlignment="1">
      <alignment horizontal="center"/>
    </xf>
    <xf numFmtId="0" fontId="41" fillId="15" borderId="0" xfId="0" applyFont="1" applyFill="1" applyAlignment="1">
      <alignment horizontal="center"/>
    </xf>
    <xf numFmtId="0" fontId="38" fillId="15" borderId="0" xfId="0" applyFont="1" applyFill="1" applyAlignment="1">
      <alignment horizontal="center"/>
    </xf>
    <xf numFmtId="0" fontId="27" fillId="5" borderId="0" xfId="0" applyFont="1" applyFill="1" applyAlignment="1">
      <alignment horizontal="left"/>
    </xf>
    <xf numFmtId="0" fontId="0" fillId="18" borderId="0" xfId="0" applyFill="1" applyAlignment="1">
      <alignment horizontal="center"/>
    </xf>
    <xf numFmtId="0" fontId="49" fillId="5" borderId="0" xfId="0" applyFont="1" applyFill="1" applyAlignment="1">
      <alignment horizontal="left"/>
    </xf>
    <xf numFmtId="0" fontId="0" fillId="21" borderId="32" xfId="0" applyFill="1" applyBorder="1" applyAlignment="1">
      <alignment horizontal="left"/>
    </xf>
    <xf numFmtId="0" fontId="0" fillId="0" borderId="19" xfId="0" applyBorder="1" applyAlignment="1">
      <alignment horizontal="left"/>
    </xf>
    <xf numFmtId="0" fontId="44" fillId="0" borderId="33" xfId="0" applyFont="1" applyBorder="1" applyAlignment="1">
      <alignment horizontal="left"/>
    </xf>
    <xf numFmtId="0" fontId="0" fillId="0" borderId="34" xfId="0" applyBorder="1" applyAlignment="1">
      <alignment horizontal="left"/>
    </xf>
    <xf numFmtId="0" fontId="0" fillId="21" borderId="31" xfId="0" applyFill="1" applyBorder="1" applyAlignment="1">
      <alignment horizontal="left"/>
    </xf>
    <xf numFmtId="0" fontId="50" fillId="5" borderId="0" xfId="0" applyFont="1" applyFill="1" applyAlignment="1">
      <alignment horizontal="center"/>
    </xf>
    <xf numFmtId="0" fontId="48" fillId="5" borderId="0" xfId="0" applyFont="1" applyFill="1" applyAlignment="1">
      <alignment horizontal="center"/>
    </xf>
    <xf numFmtId="0" fontId="3" fillId="21" borderId="48" xfId="0" applyFont="1" applyFill="1" applyBorder="1" applyAlignment="1">
      <alignment horizontal="center"/>
    </xf>
  </cellXfs>
  <cellStyles count="6">
    <cellStyle name="Accent6" xfId="3" builtinId="49"/>
    <cellStyle name="Comma" xfId="1" builtinId="3"/>
    <cellStyle name="Hyperlink 2" xfId="4" xr:uid="{A93908DA-DCCB-4844-9FE4-F698C6A1652A}"/>
    <cellStyle name="Normal" xfId="0" builtinId="0"/>
    <cellStyle name="Normal 2" xfId="5" xr:uid="{3D6C8DFE-FCC8-462D-8354-97BF190BAF4C}"/>
    <cellStyle name="Percent" xfId="2" builtinId="5"/>
  </cellStyles>
  <dxfs count="11">
    <dxf>
      <font>
        <b/>
        <i val="0"/>
        <color theme="0"/>
      </font>
      <fill>
        <patternFill>
          <bgColor theme="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colors>
    <mruColors>
      <color rgb="FF0000CC"/>
      <color rgb="FF99CC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Forecasting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'Nestle - Forecasting'!$D$8</c:f>
              <c:strCache>
                <c:ptCount val="1"/>
                <c:pt idx="0">
                  <c:v>Sales  </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xVal>
            <c:numRef>
              <c:f>'Nestle - Forecasting'!$C$9:$C$23</c:f>
              <c:numCache>
                <c:formatCode>yyyy\A</c:formatCode>
                <c:ptCount val="15"/>
                <c:pt idx="0">
                  <c:v>43100</c:v>
                </c:pt>
                <c:pt idx="1">
                  <c:v>43465</c:v>
                </c:pt>
                <c:pt idx="2">
                  <c:v>43830</c:v>
                </c:pt>
                <c:pt idx="3">
                  <c:v>44195</c:v>
                </c:pt>
                <c:pt idx="4">
                  <c:v>44560</c:v>
                </c:pt>
                <c:pt idx="5">
                  <c:v>44925</c:v>
                </c:pt>
                <c:pt idx="6">
                  <c:v>45290</c:v>
                </c:pt>
                <c:pt idx="7">
                  <c:v>45655</c:v>
                </c:pt>
                <c:pt idx="8">
                  <c:v>46020</c:v>
                </c:pt>
                <c:pt idx="9">
                  <c:v>46385</c:v>
                </c:pt>
                <c:pt idx="10" formatCode="yyyy\F">
                  <c:v>46750</c:v>
                </c:pt>
                <c:pt idx="11" formatCode="yyyy\F">
                  <c:v>47115</c:v>
                </c:pt>
                <c:pt idx="12" formatCode="yyyy\F">
                  <c:v>47480</c:v>
                </c:pt>
                <c:pt idx="13" formatCode="yyyy\F">
                  <c:v>47845</c:v>
                </c:pt>
                <c:pt idx="14" formatCode="yyyy\F">
                  <c:v>48210</c:v>
                </c:pt>
              </c:numCache>
            </c:numRef>
          </c:xVal>
          <c:yVal>
            <c:numRef>
              <c:f>'Nestle - Forecasting'!$D$9:$D$23</c:f>
              <c:numCache>
                <c:formatCode>0.00</c:formatCode>
                <c:ptCount val="15"/>
                <c:pt idx="0">
                  <c:v>10009.6</c:v>
                </c:pt>
                <c:pt idx="1">
                  <c:v>11292.27</c:v>
                </c:pt>
                <c:pt idx="2">
                  <c:v>12368.9</c:v>
                </c:pt>
                <c:pt idx="3">
                  <c:v>13350.03</c:v>
                </c:pt>
                <c:pt idx="4">
                  <c:v>14740.59</c:v>
                </c:pt>
                <c:pt idx="5">
                  <c:v>16896.96</c:v>
                </c:pt>
                <c:pt idx="6">
                  <c:v>19126.3</c:v>
                </c:pt>
                <c:pt idx="7">
                  <c:v>24393.89</c:v>
                </c:pt>
                <c:pt idx="8">
                  <c:v>20201.560000000001</c:v>
                </c:pt>
                <c:pt idx="9">
                  <c:v>23154.6</c:v>
                </c:pt>
                <c:pt idx="10">
                  <c:v>25229.475333333336</c:v>
                </c:pt>
                <c:pt idx="11">
                  <c:v>26806.930848484852</c:v>
                </c:pt>
                <c:pt idx="12">
                  <c:v>28384.386363636368</c:v>
                </c:pt>
                <c:pt idx="13">
                  <c:v>29961.841878787876</c:v>
                </c:pt>
                <c:pt idx="14">
                  <c:v>31539.297393939392</c:v>
                </c:pt>
              </c:numCache>
            </c:numRef>
          </c:yVal>
          <c:smooth val="0"/>
          <c:extLst>
            <c:ext xmlns:c16="http://schemas.microsoft.com/office/drawing/2014/chart" uri="{C3380CC4-5D6E-409C-BE32-E72D297353CC}">
              <c16:uniqueId val="{00000000-CDDC-4B96-9A69-D66888258B18}"/>
            </c:ext>
          </c:extLst>
        </c:ser>
        <c:dLbls>
          <c:showLegendKey val="0"/>
          <c:showVal val="0"/>
          <c:showCatName val="0"/>
          <c:showSerName val="0"/>
          <c:showPercent val="0"/>
          <c:showBubbleSize val="0"/>
        </c:dLbls>
        <c:axId val="1266911376"/>
        <c:axId val="670713296"/>
      </c:scatterChart>
      <c:valAx>
        <c:axId val="1266911376"/>
        <c:scaling>
          <c:orientation val="minMax"/>
        </c:scaling>
        <c:delete val="0"/>
        <c:axPos val="b"/>
        <c:majorGridlines>
          <c:spPr>
            <a:ln w="9525" cap="flat" cmpd="sng" algn="ctr">
              <a:solidFill>
                <a:schemeClr val="tx1">
                  <a:lumMod val="15000"/>
                  <a:lumOff val="85000"/>
                </a:schemeClr>
              </a:solidFill>
              <a:round/>
            </a:ln>
            <a:effectLst/>
          </c:spPr>
        </c:majorGridlines>
        <c:numFmt formatCode="yyyy\A"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670713296"/>
        <c:crosses val="autoZero"/>
        <c:crossBetween val="midCat"/>
      </c:valAx>
      <c:valAx>
        <c:axId val="670713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11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COGS Forecasting Growth</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scatterChart>
        <c:scatterStyle val="lineMarker"/>
        <c:varyColors val="0"/>
        <c:ser>
          <c:idx val="0"/>
          <c:order val="0"/>
          <c:tx>
            <c:strRef>
              <c:f>'Nestle - Forecasting'!$K$8</c:f>
              <c:strCache>
                <c:ptCount val="1"/>
                <c:pt idx="0">
                  <c:v>COGS Growth</c:v>
                </c:pt>
              </c:strCache>
            </c:strRef>
          </c:tx>
          <c:spPr>
            <a:ln w="25400" cap="rnd">
              <a:noFill/>
              <a:round/>
            </a:ln>
            <a:effectLst/>
          </c:spPr>
          <c:marker>
            <c:symbol val="diamond"/>
            <c:size val="6"/>
            <c:spPr>
              <a:solidFill>
                <a:schemeClr val="lt1"/>
              </a:solidFill>
              <a:ln w="15875">
                <a:solidFill>
                  <a:schemeClr val="accent1"/>
                </a:solidFill>
                <a:round/>
              </a:ln>
              <a:effectLst/>
            </c:spPr>
          </c:marker>
          <c:trendline>
            <c:spPr>
              <a:ln w="19050" cap="rnd">
                <a:solidFill>
                  <a:schemeClr val="accent1"/>
                </a:solidFill>
              </a:ln>
              <a:effectLst/>
            </c:spPr>
            <c:trendlineType val="linear"/>
            <c:dispRSqr val="0"/>
            <c:dispEq val="0"/>
          </c:trendline>
          <c:xVal>
            <c:numRef>
              <c:f>'Nestle - Forecasting'!$I$9:$I$23</c:f>
              <c:numCache>
                <c:formatCode>yyyy\A</c:formatCode>
                <c:ptCount val="15"/>
                <c:pt idx="0">
                  <c:v>43100</c:v>
                </c:pt>
                <c:pt idx="1">
                  <c:v>43465</c:v>
                </c:pt>
                <c:pt idx="2">
                  <c:v>43830</c:v>
                </c:pt>
                <c:pt idx="3">
                  <c:v>44195</c:v>
                </c:pt>
                <c:pt idx="4">
                  <c:v>44560</c:v>
                </c:pt>
                <c:pt idx="5">
                  <c:v>44925</c:v>
                </c:pt>
                <c:pt idx="6">
                  <c:v>45290</c:v>
                </c:pt>
                <c:pt idx="7">
                  <c:v>45655</c:v>
                </c:pt>
                <c:pt idx="8">
                  <c:v>46020</c:v>
                </c:pt>
                <c:pt idx="9">
                  <c:v>46385</c:v>
                </c:pt>
                <c:pt idx="10" formatCode="yyyy\F">
                  <c:v>46750</c:v>
                </c:pt>
                <c:pt idx="11" formatCode="yyyy\F">
                  <c:v>47115</c:v>
                </c:pt>
                <c:pt idx="12" formatCode="yyyy\F">
                  <c:v>47480</c:v>
                </c:pt>
                <c:pt idx="13" formatCode="yyyy\F">
                  <c:v>47845</c:v>
                </c:pt>
                <c:pt idx="14" formatCode="yyyy\F">
                  <c:v>48210</c:v>
                </c:pt>
              </c:numCache>
            </c:numRef>
          </c:xVal>
          <c:yVal>
            <c:numRef>
              <c:f>'Nestle - Forecasting'!$K$9:$K$23</c:f>
              <c:numCache>
                <c:formatCode>0.00%</c:formatCode>
                <c:ptCount val="15"/>
                <c:pt idx="1">
                  <c:v>3.5766934722571531E-2</c:v>
                </c:pt>
                <c:pt idx="2">
                  <c:v>0.18063469845033708</c:v>
                </c:pt>
                <c:pt idx="3">
                  <c:v>8.4237465466023398E-2</c:v>
                </c:pt>
                <c:pt idx="4">
                  <c:v>8.1505751019026018E-2</c:v>
                </c:pt>
                <c:pt idx="5">
                  <c:v>0.25638433127218807</c:v>
                </c:pt>
                <c:pt idx="6">
                  <c:v>0.27209995766032757</c:v>
                </c:pt>
                <c:pt idx="7">
                  <c:v>8.5968850617039294E-2</c:v>
                </c:pt>
                <c:pt idx="8">
                  <c:v>-0.16894483382983139</c:v>
                </c:pt>
                <c:pt idx="9">
                  <c:v>0.19189237611862997</c:v>
                </c:pt>
                <c:pt idx="10">
                  <c:v>0.10081157550248943</c:v>
                </c:pt>
                <c:pt idx="11">
                  <c:v>6.7021516962573191E-2</c:v>
                </c:pt>
                <c:pt idx="12">
                  <c:v>6.2811776423552956E-2</c:v>
                </c:pt>
                <c:pt idx="13">
                  <c:v>5.9099624050948707E-2</c:v>
                </c:pt>
                <c:pt idx="14">
                  <c:v>5.5801760957008506E-2</c:v>
                </c:pt>
              </c:numCache>
            </c:numRef>
          </c:yVal>
          <c:smooth val="0"/>
          <c:extLst>
            <c:ext xmlns:c16="http://schemas.microsoft.com/office/drawing/2014/chart" uri="{C3380CC4-5D6E-409C-BE32-E72D297353CC}">
              <c16:uniqueId val="{00000000-ED4C-4D88-8E4D-E2EC74C32DF2}"/>
            </c:ext>
          </c:extLst>
        </c:ser>
        <c:dLbls>
          <c:showLegendKey val="0"/>
          <c:showVal val="0"/>
          <c:showCatName val="0"/>
          <c:showSerName val="0"/>
          <c:showPercent val="0"/>
          <c:showBubbleSize val="0"/>
        </c:dLbls>
        <c:axId val="1395258064"/>
        <c:axId val="1402823824"/>
      </c:scatterChart>
      <c:valAx>
        <c:axId val="1395258064"/>
        <c:scaling>
          <c:orientation val="minMax"/>
        </c:scaling>
        <c:delete val="0"/>
        <c:axPos val="b"/>
        <c:majorGridlines>
          <c:spPr>
            <a:ln w="9525" cap="flat" cmpd="sng" algn="ctr">
              <a:solidFill>
                <a:schemeClr val="dk1">
                  <a:lumMod val="15000"/>
                  <a:lumOff val="85000"/>
                </a:schemeClr>
              </a:solidFill>
              <a:round/>
            </a:ln>
            <a:effectLst/>
          </c:spPr>
        </c:majorGridlines>
        <c:numFmt formatCode="yyyy\A"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02823824"/>
        <c:crosses val="autoZero"/>
        <c:crossBetween val="midCat"/>
      </c:valAx>
      <c:valAx>
        <c:axId val="140282382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95258064"/>
        <c:crosses val="autoZero"/>
        <c:crossBetween val="midCat"/>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PBT Forecasting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'Nestle - Forecasting'!$O$8</c:f>
              <c:strCache>
                <c:ptCount val="1"/>
                <c:pt idx="0">
                  <c:v>PBT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'Nestle - Forecasting'!$N$9:$N$23</c:f>
              <c:numCache>
                <c:formatCode>yyyy\A</c:formatCode>
                <c:ptCount val="15"/>
                <c:pt idx="0">
                  <c:v>43100</c:v>
                </c:pt>
                <c:pt idx="1">
                  <c:v>43465</c:v>
                </c:pt>
                <c:pt idx="2">
                  <c:v>43830</c:v>
                </c:pt>
                <c:pt idx="3">
                  <c:v>44195</c:v>
                </c:pt>
                <c:pt idx="4">
                  <c:v>44560</c:v>
                </c:pt>
                <c:pt idx="5">
                  <c:v>44925</c:v>
                </c:pt>
                <c:pt idx="6">
                  <c:v>45290</c:v>
                </c:pt>
                <c:pt idx="7">
                  <c:v>45655</c:v>
                </c:pt>
                <c:pt idx="8">
                  <c:v>46020</c:v>
                </c:pt>
                <c:pt idx="9">
                  <c:v>46385</c:v>
                </c:pt>
                <c:pt idx="10" formatCode="yyyy\F">
                  <c:v>46750</c:v>
                </c:pt>
                <c:pt idx="11" formatCode="yyyy\F">
                  <c:v>47115</c:v>
                </c:pt>
                <c:pt idx="12" formatCode="yyyy\F">
                  <c:v>47480</c:v>
                </c:pt>
                <c:pt idx="13" formatCode="yyyy\F">
                  <c:v>47845</c:v>
                </c:pt>
                <c:pt idx="14" formatCode="yyyy\F">
                  <c:v>48210</c:v>
                </c:pt>
              </c:numCache>
            </c:numRef>
          </c:xVal>
          <c:yVal>
            <c:numRef>
              <c:f>'Nestle - Forecasting'!$O$9:$O$23</c:f>
              <c:numCache>
                <c:formatCode>General</c:formatCode>
                <c:ptCount val="15"/>
                <c:pt idx="0">
                  <c:v>1839.3</c:v>
                </c:pt>
                <c:pt idx="1">
                  <c:v>2428.9499999999998</c:v>
                </c:pt>
                <c:pt idx="2">
                  <c:v>2673.49</c:v>
                </c:pt>
                <c:pt idx="3">
                  <c:v>2812.79</c:v>
                </c:pt>
                <c:pt idx="4">
                  <c:v>2857.32</c:v>
                </c:pt>
                <c:pt idx="5">
                  <c:v>3255.97</c:v>
                </c:pt>
                <c:pt idx="6">
                  <c:v>4038.29</c:v>
                </c:pt>
                <c:pt idx="7">
                  <c:v>5288.87</c:v>
                </c:pt>
                <c:pt idx="8">
                  <c:v>4447.47</c:v>
                </c:pt>
                <c:pt idx="9">
                  <c:v>4609.6499999999996</c:v>
                </c:pt>
                <c:pt idx="10" formatCode="0.00">
                  <c:v>5299.0379999999996</c:v>
                </c:pt>
                <c:pt idx="11" formatCode="0.00">
                  <c:v>5639.7340000000004</c:v>
                </c:pt>
                <c:pt idx="12" formatCode="0.00">
                  <c:v>5980.43</c:v>
                </c:pt>
                <c:pt idx="13" formatCode="0.00">
                  <c:v>6321.1260000000002</c:v>
                </c:pt>
                <c:pt idx="14" formatCode="0.00">
                  <c:v>6661.8220000000001</c:v>
                </c:pt>
              </c:numCache>
            </c:numRef>
          </c:yVal>
          <c:smooth val="0"/>
          <c:extLst>
            <c:ext xmlns:c16="http://schemas.microsoft.com/office/drawing/2014/chart" uri="{C3380CC4-5D6E-409C-BE32-E72D297353CC}">
              <c16:uniqueId val="{00000000-699B-4F21-A485-F1F8473BFF7B}"/>
            </c:ext>
          </c:extLst>
        </c:ser>
        <c:dLbls>
          <c:showLegendKey val="0"/>
          <c:showVal val="0"/>
          <c:showCatName val="0"/>
          <c:showSerName val="0"/>
          <c:showPercent val="0"/>
          <c:showBubbleSize val="0"/>
        </c:dLbls>
        <c:axId val="1397503216"/>
        <c:axId val="1402852144"/>
      </c:scatterChart>
      <c:valAx>
        <c:axId val="1397503216"/>
        <c:scaling>
          <c:orientation val="minMax"/>
        </c:scaling>
        <c:delete val="0"/>
        <c:axPos val="b"/>
        <c:majorGridlines>
          <c:spPr>
            <a:ln w="9525" cap="flat" cmpd="sng" algn="ctr">
              <a:solidFill>
                <a:schemeClr val="tx1">
                  <a:lumMod val="15000"/>
                  <a:lumOff val="85000"/>
                </a:schemeClr>
              </a:solidFill>
              <a:round/>
            </a:ln>
            <a:effectLst/>
          </c:spPr>
        </c:majorGridlines>
        <c:numFmt formatCode="yyyy\A"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852144"/>
        <c:crosses val="autoZero"/>
        <c:crossBetween val="midCat"/>
      </c:valAx>
      <c:valAx>
        <c:axId val="140285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032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ln>
                  <a:noFill/>
                </a:ln>
                <a:solidFill>
                  <a:schemeClr val="tx1"/>
                </a:solidFill>
                <a:latin typeface="+mn-lt"/>
                <a:ea typeface="+mn-ea"/>
                <a:cs typeface="+mn-cs"/>
              </a:defRPr>
            </a:pPr>
            <a:r>
              <a:rPr lang="en-IN"/>
              <a:t>Sales Regression  </a:t>
            </a:r>
          </a:p>
        </c:rich>
      </c:tx>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Regression!$D$5</c:f>
              <c:strCache>
                <c:ptCount val="1"/>
                <c:pt idx="0">
                  <c:v>Sales  </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trendline>
            <c:spPr>
              <a:ln w="19050" cap="flat" cmpd="sng" algn="ctr">
                <a:solidFill>
                  <a:schemeClr val="dk1"/>
                </a:solidFill>
                <a:prstDash val="solid"/>
                <a:miter lim="800000"/>
              </a:ln>
              <a:effectLst/>
            </c:spPr>
            <c:trendlineType val="linear"/>
            <c:dispRSqr val="0"/>
            <c:dispEq val="0"/>
          </c:trendline>
          <c:xVal>
            <c:numRef>
              <c:f>Regression!$C$6:$C$17</c:f>
              <c:numCache>
                <c:formatCode>0\A</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xVal>
          <c:yVal>
            <c:numRef>
              <c:f>Regression!$D$6:$D$17</c:f>
              <c:numCache>
                <c:formatCode>General</c:formatCode>
                <c:ptCount val="12"/>
                <c:pt idx="0">
                  <c:v>8175</c:v>
                </c:pt>
                <c:pt idx="1">
                  <c:v>9141</c:v>
                </c:pt>
                <c:pt idx="2">
                  <c:v>10010</c:v>
                </c:pt>
                <c:pt idx="3">
                  <c:v>11292</c:v>
                </c:pt>
                <c:pt idx="4">
                  <c:v>12369</c:v>
                </c:pt>
                <c:pt idx="5">
                  <c:v>13350</c:v>
                </c:pt>
                <c:pt idx="6">
                  <c:v>14741</c:v>
                </c:pt>
                <c:pt idx="7">
                  <c:v>16897</c:v>
                </c:pt>
                <c:pt idx="8">
                  <c:v>19126</c:v>
                </c:pt>
                <c:pt idx="9">
                  <c:v>24394</c:v>
                </c:pt>
                <c:pt idx="10">
                  <c:v>20202</c:v>
                </c:pt>
                <c:pt idx="11">
                  <c:v>23155</c:v>
                </c:pt>
              </c:numCache>
            </c:numRef>
          </c:yVal>
          <c:smooth val="0"/>
          <c:extLst>
            <c:ext xmlns:c16="http://schemas.microsoft.com/office/drawing/2014/chart" uri="{C3380CC4-5D6E-409C-BE32-E72D297353CC}">
              <c16:uniqueId val="{00000000-2401-4659-9B98-9570414119B9}"/>
            </c:ext>
          </c:extLst>
        </c:ser>
        <c:dLbls>
          <c:showLegendKey val="0"/>
          <c:showVal val="0"/>
          <c:showCatName val="0"/>
          <c:showSerName val="0"/>
          <c:showPercent val="0"/>
          <c:showBubbleSize val="0"/>
        </c:dLbls>
        <c:axId val="1514130399"/>
        <c:axId val="1481548143"/>
      </c:scatterChart>
      <c:valAx>
        <c:axId val="1514130399"/>
        <c:scaling>
          <c:orientation val="minMax"/>
        </c:scaling>
        <c:delete val="0"/>
        <c:axPos val="b"/>
        <c:majorGridlines>
          <c:spPr>
            <a:ln w="9525" cap="flat" cmpd="sng" algn="ctr">
              <a:solidFill>
                <a:schemeClr val="tx1">
                  <a:lumMod val="15000"/>
                  <a:lumOff val="85000"/>
                </a:schemeClr>
              </a:solidFill>
              <a:round/>
            </a:ln>
            <a:effectLst/>
          </c:spPr>
        </c:majorGridlines>
        <c:numFmt formatCode="0\A"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481548143"/>
        <c:crosses val="autoZero"/>
        <c:crossBetween val="midCat"/>
      </c:valAx>
      <c:valAx>
        <c:axId val="148154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5141303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tri" algn="ctr">
      <a:solidFill>
        <a:schemeClr val="tx1"/>
      </a:solidFill>
      <a:prstDash val="solid"/>
      <a:miter lim="800000"/>
    </a:ln>
    <a:effectLst/>
  </c:spPr>
  <c:txPr>
    <a:bodyPr/>
    <a:lstStyle/>
    <a:p>
      <a:pPr>
        <a:defRPr>
          <a:ln>
            <a:noFill/>
          </a:ln>
          <a:solidFill>
            <a:schemeClr val="tx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144780</xdr:colOff>
      <xdr:row>1</xdr:row>
      <xdr:rowOff>83820</xdr:rowOff>
    </xdr:from>
    <xdr:to>
      <xdr:col>10</xdr:col>
      <xdr:colOff>833592</xdr:colOff>
      <xdr:row>4</xdr:row>
      <xdr:rowOff>104679</xdr:rowOff>
    </xdr:to>
    <xdr:pic>
      <xdr:nvPicPr>
        <xdr:cNvPr id="2" name="Picture 1">
          <a:extLst>
            <a:ext uri="{FF2B5EF4-FFF2-40B4-BE49-F238E27FC236}">
              <a16:creationId xmlns:a16="http://schemas.microsoft.com/office/drawing/2014/main" id="{E1044082-B015-4819-BA43-187EB5834F58}"/>
            </a:ext>
          </a:extLst>
        </xdr:cNvPr>
        <xdr:cNvPicPr>
          <a:picLocks noChangeAspect="1"/>
        </xdr:cNvPicPr>
      </xdr:nvPicPr>
      <xdr:blipFill>
        <a:blip xmlns:r="http://schemas.openxmlformats.org/officeDocument/2006/relationships" r:embed="rId1"/>
        <a:stretch>
          <a:fillRect/>
        </a:stretch>
      </xdr:blipFill>
      <xdr:spPr>
        <a:xfrm>
          <a:off x="5661660" y="175260"/>
          <a:ext cx="3287232" cy="5694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983511</xdr:colOff>
      <xdr:row>1</xdr:row>
      <xdr:rowOff>88604</xdr:rowOff>
    </xdr:from>
    <xdr:to>
      <xdr:col>11</xdr:col>
      <xdr:colOff>1027813</xdr:colOff>
      <xdr:row>4</xdr:row>
      <xdr:rowOff>99894</xdr:rowOff>
    </xdr:to>
    <xdr:pic>
      <xdr:nvPicPr>
        <xdr:cNvPr id="4" name="Picture 3">
          <a:extLst>
            <a:ext uri="{FF2B5EF4-FFF2-40B4-BE49-F238E27FC236}">
              <a16:creationId xmlns:a16="http://schemas.microsoft.com/office/drawing/2014/main" id="{F331DCBB-2297-13D1-7CC4-2308CD012E15}"/>
            </a:ext>
          </a:extLst>
        </xdr:cNvPr>
        <xdr:cNvPicPr>
          <a:picLocks noChangeAspect="1"/>
        </xdr:cNvPicPr>
      </xdr:nvPicPr>
      <xdr:blipFill>
        <a:blip xmlns:r="http://schemas.openxmlformats.org/officeDocument/2006/relationships" r:embed="rId1"/>
        <a:stretch>
          <a:fillRect/>
        </a:stretch>
      </xdr:blipFill>
      <xdr:spPr>
        <a:xfrm>
          <a:off x="9985744" y="274674"/>
          <a:ext cx="3287232" cy="5694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152400</xdr:colOff>
      <xdr:row>1</xdr:row>
      <xdr:rowOff>76200</xdr:rowOff>
    </xdr:from>
    <xdr:to>
      <xdr:col>14</xdr:col>
      <xdr:colOff>905982</xdr:colOff>
      <xdr:row>4</xdr:row>
      <xdr:rowOff>102774</xdr:rowOff>
    </xdr:to>
    <xdr:pic>
      <xdr:nvPicPr>
        <xdr:cNvPr id="2" name="Picture 1">
          <a:extLst>
            <a:ext uri="{FF2B5EF4-FFF2-40B4-BE49-F238E27FC236}">
              <a16:creationId xmlns:a16="http://schemas.microsoft.com/office/drawing/2014/main" id="{28F8D023-7FF8-41FE-9192-7DD913281373}"/>
            </a:ext>
          </a:extLst>
        </xdr:cNvPr>
        <xdr:cNvPicPr>
          <a:picLocks noChangeAspect="1"/>
        </xdr:cNvPicPr>
      </xdr:nvPicPr>
      <xdr:blipFill>
        <a:blip xmlns:r="http://schemas.openxmlformats.org/officeDocument/2006/relationships" r:embed="rId1"/>
        <a:stretch>
          <a:fillRect/>
        </a:stretch>
      </xdr:blipFill>
      <xdr:spPr>
        <a:xfrm>
          <a:off x="10877550" y="257175"/>
          <a:ext cx="3287232" cy="5694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91440</xdr:colOff>
      <xdr:row>26</xdr:row>
      <xdr:rowOff>11430</xdr:rowOff>
    </xdr:from>
    <xdr:to>
      <xdr:col>5</xdr:col>
      <xdr:colOff>449580</xdr:colOff>
      <xdr:row>41</xdr:row>
      <xdr:rowOff>106680</xdr:rowOff>
    </xdr:to>
    <xdr:graphicFrame macro="">
      <xdr:nvGraphicFramePr>
        <xdr:cNvPr id="4" name="Chart 3">
          <a:extLst>
            <a:ext uri="{FF2B5EF4-FFF2-40B4-BE49-F238E27FC236}">
              <a16:creationId xmlns:a16="http://schemas.microsoft.com/office/drawing/2014/main" id="{1B3ECC0D-D727-B09D-6209-6E8F0EAA2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25</xdr:row>
      <xdr:rowOff>125730</xdr:rowOff>
    </xdr:from>
    <xdr:to>
      <xdr:col>11</xdr:col>
      <xdr:colOff>480060</xdr:colOff>
      <xdr:row>40</xdr:row>
      <xdr:rowOff>125730</xdr:rowOff>
    </xdr:to>
    <xdr:graphicFrame macro="">
      <xdr:nvGraphicFramePr>
        <xdr:cNvPr id="5" name="Chart 4">
          <a:extLst>
            <a:ext uri="{FF2B5EF4-FFF2-40B4-BE49-F238E27FC236}">
              <a16:creationId xmlns:a16="http://schemas.microsoft.com/office/drawing/2014/main" id="{78D62CB0-598D-BC7B-A6A8-634F7DC05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259080</xdr:colOff>
      <xdr:row>25</xdr:row>
      <xdr:rowOff>148590</xdr:rowOff>
    </xdr:from>
    <xdr:to>
      <xdr:col>18</xdr:col>
      <xdr:colOff>22860</xdr:colOff>
      <xdr:row>40</xdr:row>
      <xdr:rowOff>148590</xdr:rowOff>
    </xdr:to>
    <xdr:graphicFrame macro="">
      <xdr:nvGraphicFramePr>
        <xdr:cNvPr id="6" name="Chart 5">
          <a:extLst>
            <a:ext uri="{FF2B5EF4-FFF2-40B4-BE49-F238E27FC236}">
              <a16:creationId xmlns:a16="http://schemas.microsoft.com/office/drawing/2014/main" id="{19BD2A3C-0C30-9AB5-1A6B-58C2C8F65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402897</xdr:colOff>
      <xdr:row>1</xdr:row>
      <xdr:rowOff>122621</xdr:rowOff>
    </xdr:from>
    <xdr:to>
      <xdr:col>16</xdr:col>
      <xdr:colOff>230474</xdr:colOff>
      <xdr:row>4</xdr:row>
      <xdr:rowOff>140327</xdr:rowOff>
    </xdr:to>
    <xdr:pic>
      <xdr:nvPicPr>
        <xdr:cNvPr id="2" name="Picture 1">
          <a:extLst>
            <a:ext uri="{FF2B5EF4-FFF2-40B4-BE49-F238E27FC236}">
              <a16:creationId xmlns:a16="http://schemas.microsoft.com/office/drawing/2014/main" id="{8295802E-6CC6-4803-A646-7139E9FA0034}"/>
            </a:ext>
          </a:extLst>
        </xdr:cNvPr>
        <xdr:cNvPicPr>
          <a:picLocks noChangeAspect="1"/>
        </xdr:cNvPicPr>
      </xdr:nvPicPr>
      <xdr:blipFill>
        <a:blip xmlns:r="http://schemas.openxmlformats.org/officeDocument/2006/relationships" r:embed="rId4"/>
        <a:stretch>
          <a:fillRect/>
        </a:stretch>
      </xdr:blipFill>
      <xdr:spPr>
        <a:xfrm>
          <a:off x="10632966" y="306552"/>
          <a:ext cx="3287232" cy="5694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563880</xdr:colOff>
      <xdr:row>0</xdr:row>
      <xdr:rowOff>91440</xdr:rowOff>
    </xdr:from>
    <xdr:to>
      <xdr:col>10</xdr:col>
      <xdr:colOff>406872</xdr:colOff>
      <xdr:row>3</xdr:row>
      <xdr:rowOff>112299</xdr:rowOff>
    </xdr:to>
    <xdr:pic>
      <xdr:nvPicPr>
        <xdr:cNvPr id="2" name="Picture 1">
          <a:extLst>
            <a:ext uri="{FF2B5EF4-FFF2-40B4-BE49-F238E27FC236}">
              <a16:creationId xmlns:a16="http://schemas.microsoft.com/office/drawing/2014/main" id="{ACD69FCC-51A9-40A3-B1D0-79B5F06E661D}"/>
            </a:ext>
          </a:extLst>
        </xdr:cNvPr>
        <xdr:cNvPicPr>
          <a:picLocks noChangeAspect="1"/>
        </xdr:cNvPicPr>
      </xdr:nvPicPr>
      <xdr:blipFill>
        <a:blip xmlns:r="http://schemas.openxmlformats.org/officeDocument/2006/relationships" r:embed="rId1"/>
        <a:stretch>
          <a:fillRect/>
        </a:stretch>
      </xdr:blipFill>
      <xdr:spPr>
        <a:xfrm>
          <a:off x="5067300" y="91440"/>
          <a:ext cx="3287232" cy="5694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167640</xdr:colOff>
      <xdr:row>12</xdr:row>
      <xdr:rowOff>60960</xdr:rowOff>
    </xdr:from>
    <xdr:to>
      <xdr:col>12</xdr:col>
      <xdr:colOff>472440</xdr:colOff>
      <xdr:row>27</xdr:row>
      <xdr:rowOff>22860</xdr:rowOff>
    </xdr:to>
    <xdr:graphicFrame macro="">
      <xdr:nvGraphicFramePr>
        <xdr:cNvPr id="2" name="Chart 1">
          <a:extLst>
            <a:ext uri="{FF2B5EF4-FFF2-40B4-BE49-F238E27FC236}">
              <a16:creationId xmlns:a16="http://schemas.microsoft.com/office/drawing/2014/main" id="{932142C2-B598-D921-EDEB-0CD1C4C83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144780</xdr:colOff>
      <xdr:row>1</xdr:row>
      <xdr:rowOff>83820</xdr:rowOff>
    </xdr:from>
    <xdr:to>
      <xdr:col>10</xdr:col>
      <xdr:colOff>833592</xdr:colOff>
      <xdr:row>4</xdr:row>
      <xdr:rowOff>104679</xdr:rowOff>
    </xdr:to>
    <xdr:pic>
      <xdr:nvPicPr>
        <xdr:cNvPr id="2" name="Picture 1">
          <a:extLst>
            <a:ext uri="{FF2B5EF4-FFF2-40B4-BE49-F238E27FC236}">
              <a16:creationId xmlns:a16="http://schemas.microsoft.com/office/drawing/2014/main" id="{8E999A99-9142-4E32-AE67-DB3ABF9DF227}"/>
            </a:ext>
          </a:extLst>
        </xdr:cNvPr>
        <xdr:cNvPicPr>
          <a:picLocks noChangeAspect="1"/>
        </xdr:cNvPicPr>
      </xdr:nvPicPr>
      <xdr:blipFill>
        <a:blip xmlns:r="http://schemas.openxmlformats.org/officeDocument/2006/relationships" r:embed="rId1"/>
        <a:stretch>
          <a:fillRect/>
        </a:stretch>
      </xdr:blipFill>
      <xdr:spPr>
        <a:xfrm>
          <a:off x="5661660" y="266700"/>
          <a:ext cx="3287232" cy="5694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929640</xdr:colOff>
      <xdr:row>1</xdr:row>
      <xdr:rowOff>121920</xdr:rowOff>
    </xdr:from>
    <xdr:to>
      <xdr:col>10</xdr:col>
      <xdr:colOff>970752</xdr:colOff>
      <xdr:row>4</xdr:row>
      <xdr:rowOff>142779</xdr:rowOff>
    </xdr:to>
    <xdr:pic>
      <xdr:nvPicPr>
        <xdr:cNvPr id="2" name="Picture 1">
          <a:extLst>
            <a:ext uri="{FF2B5EF4-FFF2-40B4-BE49-F238E27FC236}">
              <a16:creationId xmlns:a16="http://schemas.microsoft.com/office/drawing/2014/main" id="{439035BF-FDD5-4AA7-9B0C-F59A99E83011}"/>
            </a:ext>
          </a:extLst>
        </xdr:cNvPr>
        <xdr:cNvPicPr>
          <a:picLocks noChangeAspect="1"/>
        </xdr:cNvPicPr>
      </xdr:nvPicPr>
      <xdr:blipFill>
        <a:blip xmlns:r="http://schemas.openxmlformats.org/officeDocument/2006/relationships" r:embed="rId1"/>
        <a:stretch>
          <a:fillRect/>
        </a:stretch>
      </xdr:blipFill>
      <xdr:spPr>
        <a:xfrm>
          <a:off x="6492240" y="198120"/>
          <a:ext cx="3287232" cy="569499"/>
        </a:xfrm>
        <a:prstGeom prst="rect">
          <a:avLst/>
        </a:prstGeom>
      </xdr:spPr>
    </xdr:pic>
    <xdr:clientData/>
  </xdr:twoCellAnchor>
  <xdr:twoCellAnchor>
    <xdr:from>
      <xdr:col>11</xdr:col>
      <xdr:colOff>274320</xdr:colOff>
      <xdr:row>22</xdr:row>
      <xdr:rowOff>91440</xdr:rowOff>
    </xdr:from>
    <xdr:to>
      <xdr:col>18</xdr:col>
      <xdr:colOff>480060</xdr:colOff>
      <xdr:row>32</xdr:row>
      <xdr:rowOff>15240</xdr:rowOff>
    </xdr:to>
    <xdr:sp macro="" textlink="">
      <xdr:nvSpPr>
        <xdr:cNvPr id="3" name="Rectangle 2">
          <a:extLst>
            <a:ext uri="{FF2B5EF4-FFF2-40B4-BE49-F238E27FC236}">
              <a16:creationId xmlns:a16="http://schemas.microsoft.com/office/drawing/2014/main" id="{A2686B60-8DA1-81A0-570F-8E2A5745BB8A}"/>
            </a:ext>
          </a:extLst>
        </xdr:cNvPr>
        <xdr:cNvSpPr/>
      </xdr:nvSpPr>
      <xdr:spPr>
        <a:xfrm>
          <a:off x="10347960" y="3970020"/>
          <a:ext cx="5593080" cy="182118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t>DCF Assumptions:</a:t>
          </a:r>
          <a:r>
            <a:rPr lang="en-IN" sz="1400"/>
            <a:t> </a:t>
          </a:r>
          <a:r>
            <a:rPr lang="en-IN" sz="1200"/>
            <a:t>Revenue growth was anchored to Nestle’s historical performance, with FY26A growth of 14% and the historical average supporting a normalized base assumption of 10%. The forecast gradually moderates toward 6% by Year 5, supported by the Excel trend forecast and the expectation that growth normalizes as the business matures. The assumptions also consider management’s focus on volume growth, pricing, premiumisation, distribution and future investments. </a:t>
          </a:r>
          <a:r>
            <a:rPr lang="en-IN" sz="1200" b="0"/>
            <a:t>A 12.11% WACC </a:t>
          </a:r>
          <a:r>
            <a:rPr lang="en-IN" sz="1200"/>
            <a:t>and </a:t>
          </a:r>
          <a:r>
            <a:rPr lang="en-IN" sz="1200" b="1"/>
            <a:t>4% terminal growth</a:t>
          </a:r>
          <a:r>
            <a:rPr lang="en-IN" sz="1200"/>
            <a:t> were used to reflect a mature, established FMCG business while keeping the valuation assumption conservative and defensible.</a:t>
          </a:r>
        </a:p>
        <a:p>
          <a:pPr algn="l"/>
          <a:endParaRPr lang="en-IN"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D3CCF7-F1C3-45F1-B443-1BF77E77FA58}" name="Table4" displayName="Table4" ref="O47:P52" totalsRowShown="0" headerRowDxfId="10" dataDxfId="9">
  <autoFilter ref="O47:P52" xr:uid="{53D3CCF7-F1C3-45F1-B443-1BF77E77FA58}"/>
  <tableColumns count="2">
    <tableColumn id="1" xr3:uid="{46F83597-255C-4D1D-848C-EB94C2A54AA5}" name="Concept" dataDxfId="8"/>
    <tableColumn id="2" xr3:uid="{C323196F-7592-42B5-A17E-B5C23FACF1F9}" name="Meaning"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948F8D-477E-46D3-8FEE-FC8C21B1D5CA}" name="Table2" displayName="Table2" ref="C4:H19" totalsRowShown="0" headerRowDxfId="6">
  <autoFilter ref="C4:H19" xr:uid="{A0948F8D-477E-46D3-8FEE-FC8C21B1D5CA}"/>
  <tableColumns count="6">
    <tableColumn id="1" xr3:uid="{DFA14730-627B-475E-943E-D04AA5AB156D}" name="S.No."/>
    <tableColumn id="2" xr3:uid="{81E62EC7-0851-44DA-B3FB-63757DC4FD8F}" name="Name"/>
    <tableColumn id="3" xr3:uid="{8B0070C0-80D1-46FC-811E-9CD3F73E97F9}" name="CMP Rs."/>
    <tableColumn id="4" xr3:uid="{F4642904-1468-4E01-8CDB-74FBBA8CE8B9}" name="Mar Cap Rs.Cr. "/>
    <tableColumn id="5" xr3:uid="{AFF33E29-C37A-4090-91AB-134397B9B0D9}" name="Debt / Eq"/>
    <tableColumn id="6" xr3:uid="{7F3E1977-5143-4ECB-8967-96525B96C2CF}" name="Debt Rs.Cr."/>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450BE8-5CB2-4DBF-8D27-137EBCC484FF}" name="Table1" displayName="Table1" ref="K4:P19" totalsRowShown="0" headerRowDxfId="5">
  <autoFilter ref="K4:P19" xr:uid="{15450BE8-5CB2-4DBF-8D27-137EBCC484FF}"/>
  <tableColumns count="6">
    <tableColumn id="1" xr3:uid="{2BFA4B40-007F-49AF-8B7A-A1F4675821E0}" name="S.No."/>
    <tableColumn id="2" xr3:uid="{BF101A18-A226-4A0A-BF84-FAF1E766F02A}" name="Name"/>
    <tableColumn id="3" xr3:uid="{C6F92F97-DA32-42FA-A544-6C62335E585C}" name="CMP Rs."/>
    <tableColumn id="4" xr3:uid="{E0A0530E-106C-4F1F-BB22-39DCE7CB897D}" name="Mar Cap Rs.Cr. "/>
    <tableColumn id="5" xr3:uid="{E032E005-4BB6-4907-9384-C337B56D9BCE}" name="Debt / Eq"/>
    <tableColumn id="6" xr3:uid="{5CDF98A8-F821-48C6-839A-899D98A00635}" name="Debt Rs.C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EFC89D-F84D-449C-ACCA-3C97F5F1DA3C}" name="Table3" displayName="Table3" ref="D23:E31" totalsRowShown="0" headerRowDxfId="4" dataDxfId="3">
  <autoFilter ref="D23:E31" xr:uid="{DCEFC89D-F84D-449C-ACCA-3C97F5F1DA3C}"/>
  <tableColumns count="2">
    <tableColumn id="1" xr3:uid="{52D86166-0E7D-4FB1-89D9-6CB4EA93BCEB}" name="Criteria" dataDxfId="2"/>
    <tableColumn id="2" xr3:uid="{4698994C-58BF-4CD1-8890-2D35F8FA219D}" name="Wh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creener.in/excel/"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4.bin"/><Relationship Id="rId4"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45053-710A-4221-BF56-27E0C4AC675C}">
  <sheetPr>
    <tabColor rgb="FFFFC000"/>
  </sheetPr>
  <dimension ref="B2:N33"/>
  <sheetViews>
    <sheetView workbookViewId="0">
      <selection activeCell="Z26" sqref="Z26"/>
    </sheetView>
  </sheetViews>
  <sheetFormatPr defaultRowHeight="14.4" x14ac:dyDescent="0.3"/>
  <cols>
    <col min="2" max="2" width="31" customWidth="1"/>
    <col min="3" max="14" width="10.77734375" customWidth="1"/>
  </cols>
  <sheetData>
    <row r="2" spans="2:14" ht="15" thickBot="1" x14ac:dyDescent="0.35">
      <c r="B2" s="37">
        <v>42339</v>
      </c>
      <c r="C2" s="37">
        <v>42705</v>
      </c>
      <c r="D2" s="37">
        <v>43070</v>
      </c>
      <c r="E2" s="37">
        <v>43435</v>
      </c>
      <c r="F2" s="37">
        <v>43800</v>
      </c>
      <c r="G2" s="37">
        <v>44166</v>
      </c>
      <c r="H2" s="37">
        <v>44531</v>
      </c>
      <c r="I2" s="37">
        <v>44896</v>
      </c>
      <c r="J2" s="37">
        <v>45261</v>
      </c>
      <c r="K2" s="37">
        <v>45352</v>
      </c>
      <c r="L2" s="37">
        <v>45717</v>
      </c>
      <c r="M2" s="37">
        <v>46082</v>
      </c>
    </row>
    <row r="3" spans="2:14" ht="15" thickBot="1" x14ac:dyDescent="0.35">
      <c r="B3" s="38" t="s">
        <v>89</v>
      </c>
      <c r="C3" s="39">
        <v>1098</v>
      </c>
      <c r="D3" s="39">
        <v>1466</v>
      </c>
      <c r="E3" s="39">
        <v>1818</v>
      </c>
      <c r="F3" s="39">
        <v>2052</v>
      </c>
      <c r="G3" s="39">
        <v>2295</v>
      </c>
      <c r="H3" s="39">
        <v>2454</v>
      </c>
      <c r="I3" s="39">
        <v>2236</v>
      </c>
      <c r="J3" s="39">
        <v>2737</v>
      </c>
      <c r="K3" s="39">
        <v>3392</v>
      </c>
      <c r="L3" s="39">
        <v>4175</v>
      </c>
      <c r="M3" s="39">
        <v>2935</v>
      </c>
      <c r="N3" s="39">
        <v>5048</v>
      </c>
    </row>
    <row r="4" spans="2:14" x14ac:dyDescent="0.3">
      <c r="B4" s="40" t="s">
        <v>90</v>
      </c>
      <c r="C4" s="39">
        <v>1109</v>
      </c>
      <c r="D4" s="39">
        <v>1765</v>
      </c>
      <c r="E4" s="39">
        <v>2047</v>
      </c>
      <c r="F4" s="39">
        <v>2521</v>
      </c>
      <c r="G4" s="39">
        <v>2805</v>
      </c>
      <c r="H4" s="39">
        <v>3061</v>
      </c>
      <c r="I4" s="39">
        <v>3136</v>
      </c>
      <c r="J4" s="39">
        <v>3609</v>
      </c>
      <c r="K4" s="39">
        <v>4388</v>
      </c>
      <c r="L4" s="39">
        <v>5722</v>
      </c>
      <c r="M4" s="39">
        <v>4672</v>
      </c>
      <c r="N4" s="39">
        <v>5326</v>
      </c>
    </row>
    <row r="5" spans="2:14" x14ac:dyDescent="0.3">
      <c r="B5" s="41" t="s">
        <v>40</v>
      </c>
      <c r="C5" s="42">
        <v>21</v>
      </c>
      <c r="D5" s="42">
        <v>-19</v>
      </c>
      <c r="E5" s="42">
        <v>8</v>
      </c>
      <c r="F5" s="42">
        <v>-36</v>
      </c>
      <c r="G5" s="42">
        <v>0</v>
      </c>
      <c r="H5" s="42">
        <v>-42</v>
      </c>
      <c r="I5" s="42">
        <v>-2</v>
      </c>
      <c r="J5" s="42">
        <v>-28</v>
      </c>
      <c r="K5" s="42">
        <v>-11</v>
      </c>
      <c r="L5" s="42">
        <v>-109</v>
      </c>
      <c r="M5" s="42">
        <v>-70</v>
      </c>
      <c r="N5" s="42">
        <v>34</v>
      </c>
    </row>
    <row r="6" spans="2:14" x14ac:dyDescent="0.3">
      <c r="B6" s="41" t="s">
        <v>41</v>
      </c>
      <c r="C6" s="42">
        <v>23</v>
      </c>
      <c r="D6" s="42">
        <v>-119</v>
      </c>
      <c r="E6" s="42">
        <v>38</v>
      </c>
      <c r="F6" s="42">
        <v>-63</v>
      </c>
      <c r="G6" s="42">
        <v>-318</v>
      </c>
      <c r="H6" s="42">
        <v>-133</v>
      </c>
      <c r="I6" s="42">
        <v>-169</v>
      </c>
      <c r="J6" s="42">
        <v>-336</v>
      </c>
      <c r="K6" s="42">
        <v>56</v>
      </c>
      <c r="L6" s="42">
        <v>-161</v>
      </c>
      <c r="M6" s="42">
        <v>-767</v>
      </c>
      <c r="N6" s="42">
        <v>281</v>
      </c>
    </row>
    <row r="7" spans="2:14" x14ac:dyDescent="0.3">
      <c r="B7" s="41" t="s">
        <v>91</v>
      </c>
      <c r="C7" s="42">
        <v>79</v>
      </c>
      <c r="D7" s="42">
        <v>50</v>
      </c>
      <c r="E7" s="42">
        <v>185</v>
      </c>
      <c r="F7" s="42">
        <v>257</v>
      </c>
      <c r="G7" s="42">
        <v>253</v>
      </c>
      <c r="H7" s="42">
        <v>23</v>
      </c>
      <c r="I7" s="42">
        <v>217</v>
      </c>
      <c r="J7" s="42">
        <v>178</v>
      </c>
      <c r="K7" s="42">
        <v>68</v>
      </c>
      <c r="L7" s="42">
        <v>310</v>
      </c>
      <c r="M7" s="42">
        <v>134</v>
      </c>
      <c r="N7" s="42">
        <v>588</v>
      </c>
    </row>
    <row r="8" spans="2:14" x14ac:dyDescent="0.3">
      <c r="B8" s="41" t="s">
        <v>92</v>
      </c>
      <c r="C8" s="42">
        <v>-3</v>
      </c>
      <c r="D8" s="42">
        <v>0</v>
      </c>
      <c r="E8" s="42">
        <v>0</v>
      </c>
      <c r="F8" s="42">
        <v>0</v>
      </c>
      <c r="G8" s="42">
        <v>0</v>
      </c>
      <c r="H8" s="42">
        <v>0</v>
      </c>
      <c r="I8" s="42">
        <v>-40</v>
      </c>
      <c r="J8" s="42">
        <v>-30</v>
      </c>
      <c r="K8" s="42">
        <v>-30</v>
      </c>
      <c r="L8" s="42">
        <v>-21</v>
      </c>
      <c r="M8" s="42">
        <v>-199</v>
      </c>
      <c r="N8" s="42">
        <v>-73</v>
      </c>
    </row>
    <row r="9" spans="2:14" x14ac:dyDescent="0.3">
      <c r="B9" s="41" t="s">
        <v>93</v>
      </c>
      <c r="C9" s="42">
        <v>2</v>
      </c>
      <c r="D9" s="42">
        <v>0</v>
      </c>
      <c r="E9" s="42">
        <v>0</v>
      </c>
      <c r="F9" s="42">
        <v>0</v>
      </c>
      <c r="G9" s="42">
        <v>0</v>
      </c>
      <c r="H9" s="42">
        <v>0</v>
      </c>
      <c r="I9" s="42">
        <v>0</v>
      </c>
      <c r="J9" s="42">
        <v>0</v>
      </c>
      <c r="K9" s="42">
        <v>0</v>
      </c>
      <c r="L9" s="42">
        <v>0</v>
      </c>
      <c r="M9" s="42">
        <v>0</v>
      </c>
      <c r="N9" s="42">
        <v>0</v>
      </c>
    </row>
    <row r="10" spans="2:14" ht="15" thickBot="1" x14ac:dyDescent="0.35">
      <c r="B10" s="41" t="s">
        <v>94</v>
      </c>
      <c r="C10" s="42">
        <v>210</v>
      </c>
      <c r="D10" s="42">
        <v>293</v>
      </c>
      <c r="E10" s="42">
        <v>144</v>
      </c>
      <c r="F10" s="42">
        <v>255</v>
      </c>
      <c r="G10" s="42">
        <v>227</v>
      </c>
      <c r="H10" s="42">
        <v>249</v>
      </c>
      <c r="I10" s="42">
        <v>-179</v>
      </c>
      <c r="J10" s="42">
        <v>185</v>
      </c>
      <c r="K10" s="42">
        <v>-19</v>
      </c>
      <c r="L10" s="42">
        <v>-268</v>
      </c>
      <c r="M10" s="42">
        <v>155</v>
      </c>
      <c r="N10" s="42">
        <v>-37</v>
      </c>
    </row>
    <row r="11" spans="2:14" x14ac:dyDescent="0.3">
      <c r="B11" s="40" t="s">
        <v>95</v>
      </c>
      <c r="C11" s="43">
        <v>332</v>
      </c>
      <c r="D11" s="43">
        <v>204</v>
      </c>
      <c r="E11" s="43">
        <v>375</v>
      </c>
      <c r="F11" s="43">
        <v>413</v>
      </c>
      <c r="G11" s="43">
        <v>163</v>
      </c>
      <c r="H11" s="43">
        <v>97</v>
      </c>
      <c r="I11" s="43">
        <v>-172</v>
      </c>
      <c r="J11" s="43">
        <v>-30</v>
      </c>
      <c r="K11" s="43">
        <v>63</v>
      </c>
      <c r="L11" s="43">
        <v>-249</v>
      </c>
      <c r="M11" s="43">
        <v>-747</v>
      </c>
      <c r="N11" s="43">
        <v>793</v>
      </c>
    </row>
    <row r="12" spans="2:14" ht="15" thickBot="1" x14ac:dyDescent="0.35">
      <c r="B12" s="41" t="s">
        <v>96</v>
      </c>
      <c r="C12" s="42">
        <v>-342</v>
      </c>
      <c r="D12" s="42">
        <v>-503</v>
      </c>
      <c r="E12" s="42">
        <v>-604</v>
      </c>
      <c r="F12" s="42">
        <v>-881</v>
      </c>
      <c r="G12" s="42">
        <v>-673</v>
      </c>
      <c r="H12" s="42">
        <v>-703</v>
      </c>
      <c r="I12" s="42">
        <v>-729</v>
      </c>
      <c r="J12" s="42">
        <v>-841</v>
      </c>
      <c r="K12" s="44">
        <v>-1059</v>
      </c>
      <c r="L12" s="44">
        <v>-1299</v>
      </c>
      <c r="M12" s="42">
        <v>-990</v>
      </c>
      <c r="N12" s="44">
        <v>-1071</v>
      </c>
    </row>
    <row r="13" spans="2:14" x14ac:dyDescent="0.3">
      <c r="B13" s="45" t="s">
        <v>97</v>
      </c>
      <c r="C13" s="46">
        <v>-70</v>
      </c>
      <c r="D13" s="46">
        <v>-126</v>
      </c>
      <c r="E13" s="46">
        <v>-131</v>
      </c>
      <c r="F13" s="46">
        <v>-52</v>
      </c>
      <c r="G13" s="46">
        <v>83</v>
      </c>
      <c r="H13" s="46">
        <v>-321</v>
      </c>
      <c r="I13" s="47">
        <v>-1920</v>
      </c>
      <c r="J13" s="46">
        <v>-392</v>
      </c>
      <c r="K13" s="46">
        <v>-927</v>
      </c>
      <c r="L13" s="47">
        <v>-1237</v>
      </c>
      <c r="M13" s="47">
        <v>-1811</v>
      </c>
      <c r="N13" s="46">
        <v>-624</v>
      </c>
    </row>
    <row r="14" spans="2:14" x14ac:dyDescent="0.3">
      <c r="B14" s="48" t="s">
        <v>98</v>
      </c>
      <c r="C14" s="49">
        <v>-151</v>
      </c>
      <c r="D14" s="49">
        <v>-207</v>
      </c>
      <c r="E14" s="49">
        <v>-199</v>
      </c>
      <c r="F14" s="49">
        <v>-166</v>
      </c>
      <c r="G14" s="49">
        <v>-155</v>
      </c>
      <c r="H14" s="49">
        <v>-478</v>
      </c>
      <c r="I14" s="49">
        <v>-735</v>
      </c>
      <c r="J14" s="49">
        <v>-550</v>
      </c>
      <c r="K14" s="50">
        <v>-1371</v>
      </c>
      <c r="L14" s="50">
        <v>-1883</v>
      </c>
      <c r="M14" s="50">
        <v>-2009</v>
      </c>
      <c r="N14" s="49">
        <v>-830</v>
      </c>
    </row>
    <row r="15" spans="2:14" x14ac:dyDescent="0.3">
      <c r="B15" s="48" t="s">
        <v>99</v>
      </c>
      <c r="C15" s="49">
        <v>1</v>
      </c>
      <c r="D15" s="49">
        <v>94</v>
      </c>
      <c r="E15" s="49">
        <v>3</v>
      </c>
      <c r="F15" s="49">
        <v>3</v>
      </c>
      <c r="G15" s="49">
        <v>2</v>
      </c>
      <c r="H15" s="49">
        <v>4</v>
      </c>
      <c r="I15" s="49">
        <v>4</v>
      </c>
      <c r="J15" s="49">
        <v>9</v>
      </c>
      <c r="K15" s="49">
        <v>7</v>
      </c>
      <c r="L15" s="49">
        <v>4</v>
      </c>
      <c r="M15" s="49">
        <v>4</v>
      </c>
      <c r="N15" s="49">
        <v>3</v>
      </c>
    </row>
    <row r="16" spans="2:14" x14ac:dyDescent="0.3">
      <c r="B16" s="48" t="s">
        <v>100</v>
      </c>
      <c r="C16" s="49">
        <v>-37</v>
      </c>
      <c r="D16" s="49">
        <v>-153</v>
      </c>
      <c r="E16" s="49">
        <v>-112</v>
      </c>
      <c r="F16" s="49">
        <v>-160</v>
      </c>
      <c r="G16" s="49">
        <v>-16</v>
      </c>
      <c r="H16" s="49">
        <v>0</v>
      </c>
      <c r="I16" s="49">
        <v>0</v>
      </c>
      <c r="J16" s="49">
        <v>0</v>
      </c>
      <c r="K16" s="49">
        <v>0</v>
      </c>
      <c r="L16" s="49">
        <v>0</v>
      </c>
      <c r="M16" s="49">
        <v>0</v>
      </c>
      <c r="N16" s="49">
        <v>0</v>
      </c>
    </row>
    <row r="17" spans="2:14" x14ac:dyDescent="0.3">
      <c r="B17" s="48" t="s">
        <v>101</v>
      </c>
      <c r="C17" s="49">
        <v>0</v>
      </c>
      <c r="D17" s="49">
        <v>0</v>
      </c>
      <c r="E17" s="49">
        <v>0</v>
      </c>
      <c r="F17" s="49">
        <v>0</v>
      </c>
      <c r="G17" s="49">
        <v>0</v>
      </c>
      <c r="H17" s="49">
        <v>0</v>
      </c>
      <c r="I17" s="49">
        <v>0</v>
      </c>
      <c r="J17" s="49">
        <v>25</v>
      </c>
      <c r="K17" s="49">
        <v>312</v>
      </c>
      <c r="L17" s="49">
        <v>284</v>
      </c>
      <c r="M17" s="49">
        <v>424</v>
      </c>
      <c r="N17" s="49">
        <v>0</v>
      </c>
    </row>
    <row r="18" spans="2:14" x14ac:dyDescent="0.3">
      <c r="B18" s="48" t="s">
        <v>102</v>
      </c>
      <c r="C18" s="49">
        <v>99</v>
      </c>
      <c r="D18" s="49">
        <v>126</v>
      </c>
      <c r="E18" s="49">
        <v>154</v>
      </c>
      <c r="F18" s="49">
        <v>237</v>
      </c>
      <c r="G18" s="49">
        <v>238</v>
      </c>
      <c r="H18" s="49">
        <v>148</v>
      </c>
      <c r="I18" s="49">
        <v>125</v>
      </c>
      <c r="J18" s="49">
        <v>103</v>
      </c>
      <c r="K18" s="49">
        <v>0</v>
      </c>
      <c r="L18" s="49">
        <v>167</v>
      </c>
      <c r="M18" s="49">
        <v>76</v>
      </c>
      <c r="N18" s="49">
        <v>34</v>
      </c>
    </row>
    <row r="19" spans="2:14" x14ac:dyDescent="0.3">
      <c r="B19" s="48" t="s">
        <v>103</v>
      </c>
      <c r="C19" s="49">
        <v>12</v>
      </c>
      <c r="D19" s="49">
        <v>13</v>
      </c>
      <c r="E19" s="49">
        <v>16</v>
      </c>
      <c r="F19" s="49">
        <v>19</v>
      </c>
      <c r="G19" s="49">
        <v>13</v>
      </c>
      <c r="H19" s="49">
        <v>2</v>
      </c>
      <c r="I19" s="49">
        <v>0</v>
      </c>
      <c r="J19" s="49">
        <v>0</v>
      </c>
      <c r="K19" s="49">
        <v>0</v>
      </c>
      <c r="L19" s="49">
        <v>0</v>
      </c>
      <c r="M19" s="49">
        <v>0</v>
      </c>
      <c r="N19" s="49">
        <v>0</v>
      </c>
    </row>
    <row r="20" spans="2:14" x14ac:dyDescent="0.3">
      <c r="B20" s="48" t="s">
        <v>104</v>
      </c>
      <c r="C20" s="49">
        <v>0</v>
      </c>
      <c r="D20" s="49">
        <v>0</v>
      </c>
      <c r="E20" s="49">
        <v>0</v>
      </c>
      <c r="F20" s="49">
        <v>0</v>
      </c>
      <c r="G20" s="49">
        <v>0</v>
      </c>
      <c r="H20" s="49">
        <v>0</v>
      </c>
      <c r="I20" s="49">
        <v>0</v>
      </c>
      <c r="J20" s="49">
        <v>0</v>
      </c>
      <c r="K20" s="49">
        <v>0</v>
      </c>
      <c r="L20" s="49">
        <v>0</v>
      </c>
      <c r="M20" s="49">
        <v>-706</v>
      </c>
      <c r="N20" s="49">
        <v>0</v>
      </c>
    </row>
    <row r="21" spans="2:14" ht="15" thickBot="1" x14ac:dyDescent="0.35">
      <c r="B21" s="48" t="s">
        <v>105</v>
      </c>
      <c r="C21" s="49">
        <v>6</v>
      </c>
      <c r="D21" s="49">
        <v>1</v>
      </c>
      <c r="E21" s="49">
        <v>7</v>
      </c>
      <c r="F21" s="49">
        <v>15</v>
      </c>
      <c r="G21" s="49">
        <v>0</v>
      </c>
      <c r="H21" s="49">
        <v>3</v>
      </c>
      <c r="I21" s="50">
        <v>-1314</v>
      </c>
      <c r="J21" s="49">
        <v>20</v>
      </c>
      <c r="K21" s="49">
        <v>126</v>
      </c>
      <c r="L21" s="49">
        <v>190</v>
      </c>
      <c r="M21" s="49">
        <v>400</v>
      </c>
      <c r="N21" s="49">
        <v>168</v>
      </c>
    </row>
    <row r="22" spans="2:14" x14ac:dyDescent="0.3">
      <c r="B22" s="38" t="s">
        <v>106</v>
      </c>
      <c r="C22" s="43">
        <v>-498</v>
      </c>
      <c r="D22" s="43">
        <v>-666</v>
      </c>
      <c r="E22" s="43">
        <v>-997</v>
      </c>
      <c r="F22" s="39">
        <v>-1317</v>
      </c>
      <c r="G22" s="39">
        <v>-3602</v>
      </c>
      <c r="H22" s="39">
        <v>-1956</v>
      </c>
      <c r="I22" s="39">
        <v>-2020</v>
      </c>
      <c r="J22" s="39">
        <v>-2123</v>
      </c>
      <c r="K22" s="39">
        <v>-2436</v>
      </c>
      <c r="L22" s="39">
        <v>-3135</v>
      </c>
      <c r="M22" s="39">
        <v>-1846</v>
      </c>
      <c r="N22" s="39">
        <v>-3179</v>
      </c>
    </row>
    <row r="23" spans="2:14" x14ac:dyDescent="0.3">
      <c r="B23" s="41" t="s">
        <v>107</v>
      </c>
      <c r="C23" s="42">
        <v>0</v>
      </c>
      <c r="D23" s="42">
        <v>0</v>
      </c>
      <c r="E23" s="42">
        <v>0</v>
      </c>
      <c r="F23" s="42">
        <v>0</v>
      </c>
      <c r="G23" s="42">
        <v>0</v>
      </c>
      <c r="H23" s="42">
        <v>0</v>
      </c>
      <c r="I23" s="42">
        <v>24</v>
      </c>
      <c r="J23" s="42">
        <v>0</v>
      </c>
      <c r="K23" s="42">
        <v>0</v>
      </c>
      <c r="L23" s="42">
        <v>0</v>
      </c>
      <c r="M23" s="42">
        <v>726</v>
      </c>
      <c r="N23" s="42">
        <v>0</v>
      </c>
    </row>
    <row r="24" spans="2:14" x14ac:dyDescent="0.3">
      <c r="B24" s="41" t="s">
        <v>108</v>
      </c>
      <c r="C24" s="42">
        <v>-3</v>
      </c>
      <c r="D24" s="42">
        <v>0</v>
      </c>
      <c r="E24" s="42">
        <v>0</v>
      </c>
      <c r="F24" s="42">
        <v>0</v>
      </c>
      <c r="G24" s="42">
        <v>0</v>
      </c>
      <c r="H24" s="42">
        <v>0</v>
      </c>
      <c r="I24" s="42">
        <v>-24</v>
      </c>
      <c r="J24" s="42">
        <v>0</v>
      </c>
      <c r="K24" s="42">
        <v>0</v>
      </c>
      <c r="L24" s="42">
        <v>0</v>
      </c>
      <c r="M24" s="42">
        <v>0</v>
      </c>
      <c r="N24" s="42">
        <v>-726</v>
      </c>
    </row>
    <row r="25" spans="2:14" x14ac:dyDescent="0.3">
      <c r="B25" s="41" t="s">
        <v>109</v>
      </c>
      <c r="C25" s="42">
        <v>0</v>
      </c>
      <c r="D25" s="42">
        <v>0</v>
      </c>
      <c r="E25" s="42">
        <v>0</v>
      </c>
      <c r="F25" s="42">
        <v>0</v>
      </c>
      <c r="G25" s="42">
        <v>0</v>
      </c>
      <c r="H25" s="42">
        <v>0</v>
      </c>
      <c r="I25" s="42">
        <v>0</v>
      </c>
      <c r="J25" s="42">
        <v>0</v>
      </c>
      <c r="K25" s="42">
        <v>0</v>
      </c>
      <c r="L25" s="42">
        <v>0</v>
      </c>
      <c r="M25" s="42">
        <v>0</v>
      </c>
      <c r="N25" s="42">
        <v>0</v>
      </c>
    </row>
    <row r="26" spans="2:14" x14ac:dyDescent="0.3">
      <c r="B26" s="41" t="s">
        <v>110</v>
      </c>
      <c r="C26" s="42">
        <v>-3</v>
      </c>
      <c r="D26" s="42">
        <v>-4</v>
      </c>
      <c r="E26" s="42">
        <v>-1</v>
      </c>
      <c r="F26" s="42">
        <v>-4</v>
      </c>
      <c r="G26" s="42">
        <v>-63</v>
      </c>
      <c r="H26" s="42">
        <v>-69</v>
      </c>
      <c r="I26" s="42">
        <v>-9</v>
      </c>
      <c r="J26" s="42">
        <v>-18</v>
      </c>
      <c r="K26" s="42">
        <v>-20</v>
      </c>
      <c r="L26" s="42">
        <v>-26</v>
      </c>
      <c r="M26" s="42">
        <v>-34</v>
      </c>
      <c r="N26" s="42">
        <v>-50</v>
      </c>
    </row>
    <row r="27" spans="2:14" x14ac:dyDescent="0.3">
      <c r="B27" s="41" t="s">
        <v>111</v>
      </c>
      <c r="C27" s="42">
        <v>-410</v>
      </c>
      <c r="D27" s="42">
        <v>-564</v>
      </c>
      <c r="E27" s="42">
        <v>-829</v>
      </c>
      <c r="F27" s="44">
        <v>-1090</v>
      </c>
      <c r="G27" s="44">
        <v>-2950</v>
      </c>
      <c r="H27" s="44">
        <v>-1890</v>
      </c>
      <c r="I27" s="44">
        <v>-1928</v>
      </c>
      <c r="J27" s="44">
        <v>-2025</v>
      </c>
      <c r="K27" s="44">
        <v>-2333</v>
      </c>
      <c r="L27" s="44">
        <v>-3008</v>
      </c>
      <c r="M27" s="44">
        <v>-2459</v>
      </c>
      <c r="N27" s="44">
        <v>-2314</v>
      </c>
    </row>
    <row r="28" spans="2:14" x14ac:dyDescent="0.3">
      <c r="B28" s="41" t="s">
        <v>112</v>
      </c>
      <c r="C28" s="42">
        <v>0</v>
      </c>
      <c r="D28" s="42">
        <v>0</v>
      </c>
      <c r="E28" s="42">
        <v>0</v>
      </c>
      <c r="F28" s="42">
        <v>0</v>
      </c>
      <c r="G28" s="42">
        <v>0</v>
      </c>
      <c r="H28" s="42">
        <v>0</v>
      </c>
      <c r="I28" s="42">
        <v>-79</v>
      </c>
      <c r="J28" s="42">
        <v>-73</v>
      </c>
      <c r="K28" s="42">
        <v>-166</v>
      </c>
      <c r="L28" s="42">
        <v>-100</v>
      </c>
      <c r="M28" s="42">
        <v>-76</v>
      </c>
      <c r="N28" s="42">
        <v>-86</v>
      </c>
    </row>
    <row r="29" spans="2:14" ht="15" thickBot="1" x14ac:dyDescent="0.35">
      <c r="B29" s="41" t="s">
        <v>113</v>
      </c>
      <c r="C29" s="42">
        <v>-82</v>
      </c>
      <c r="D29" s="42">
        <v>-98</v>
      </c>
      <c r="E29" s="42">
        <v>-167</v>
      </c>
      <c r="F29" s="42">
        <v>-224</v>
      </c>
      <c r="G29" s="42">
        <v>-588</v>
      </c>
      <c r="H29" s="42">
        <v>3</v>
      </c>
      <c r="I29" s="42">
        <v>-3</v>
      </c>
      <c r="J29" s="42">
        <v>-7</v>
      </c>
      <c r="K29" s="42">
        <v>83</v>
      </c>
      <c r="L29" s="42">
        <v>-1</v>
      </c>
      <c r="M29" s="42">
        <v>-4</v>
      </c>
      <c r="N29" s="42">
        <v>-3</v>
      </c>
    </row>
    <row r="30" spans="2:14" x14ac:dyDescent="0.3">
      <c r="B30" s="45" t="s">
        <v>50</v>
      </c>
      <c r="C30" s="46">
        <v>529</v>
      </c>
      <c r="D30" s="46">
        <v>674</v>
      </c>
      <c r="E30" s="46">
        <v>691</v>
      </c>
      <c r="F30" s="46">
        <v>683</v>
      </c>
      <c r="G30" s="47">
        <v>-1223</v>
      </c>
      <c r="H30" s="46">
        <v>177</v>
      </c>
      <c r="I30" s="47">
        <v>-1704</v>
      </c>
      <c r="J30" s="46">
        <v>223</v>
      </c>
      <c r="K30" s="46">
        <v>29</v>
      </c>
      <c r="L30" s="46">
        <v>-198</v>
      </c>
      <c r="M30" s="46">
        <v>-723</v>
      </c>
      <c r="N30" s="47">
        <v>1244</v>
      </c>
    </row>
    <row r="31" spans="2:14" x14ac:dyDescent="0.3">
      <c r="B31" s="51" t="s">
        <v>114</v>
      </c>
      <c r="C31" s="52">
        <v>949</v>
      </c>
      <c r="D31" s="53">
        <v>1353</v>
      </c>
      <c r="E31" s="53">
        <v>1622</v>
      </c>
      <c r="F31" s="53">
        <v>1890</v>
      </c>
      <c r="G31" s="53">
        <v>2143</v>
      </c>
      <c r="H31" s="53">
        <v>1980</v>
      </c>
      <c r="I31" s="53">
        <v>1505</v>
      </c>
      <c r="J31" s="53">
        <v>2197</v>
      </c>
      <c r="K31" s="53">
        <v>2028</v>
      </c>
      <c r="L31" s="53">
        <v>2296</v>
      </c>
      <c r="M31" s="52">
        <v>930</v>
      </c>
      <c r="N31" s="53">
        <v>4221</v>
      </c>
    </row>
    <row r="32" spans="2:14" x14ac:dyDescent="0.3">
      <c r="B32" s="54" t="s">
        <v>115</v>
      </c>
      <c r="C32" s="55">
        <v>0.93</v>
      </c>
      <c r="D32" s="55">
        <v>1.06</v>
      </c>
      <c r="E32" s="55">
        <v>1.1599999999999999</v>
      </c>
      <c r="F32" s="55">
        <v>1.1200000000000001</v>
      </c>
      <c r="G32" s="55">
        <v>1.01</v>
      </c>
      <c r="H32" s="55">
        <v>0.99</v>
      </c>
      <c r="I32" s="55">
        <v>0.83</v>
      </c>
      <c r="J32" s="55">
        <v>0.97</v>
      </c>
      <c r="K32" s="55">
        <v>1</v>
      </c>
      <c r="L32" s="55">
        <v>0.94</v>
      </c>
      <c r="M32" s="55">
        <v>0.82</v>
      </c>
      <c r="N32" s="55">
        <v>1.1499999999999999</v>
      </c>
    </row>
    <row r="33" spans="2:2" ht="23.4" x14ac:dyDescent="0.3">
      <c r="B33" s="56"/>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82020-F155-42FD-AC88-213F714E01C5}">
  <sheetPr>
    <tabColor rgb="FF0070C0"/>
  </sheetPr>
  <dimension ref="B2:AB83"/>
  <sheetViews>
    <sheetView showGridLines="0" topLeftCell="C42" workbookViewId="0">
      <selection activeCell="V15" sqref="V15"/>
    </sheetView>
  </sheetViews>
  <sheetFormatPr defaultRowHeight="14.4" x14ac:dyDescent="0.3"/>
  <cols>
    <col min="1" max="1" width="1.88671875" customWidth="1"/>
    <col min="2" max="2" width="34.88671875" bestFit="1" customWidth="1"/>
    <col min="10" max="10" width="24.77734375" bestFit="1" customWidth="1"/>
    <col min="14" max="14" width="25.88671875" customWidth="1"/>
    <col min="15" max="15" width="15" bestFit="1" customWidth="1"/>
    <col min="16" max="16" width="42.5546875" bestFit="1" customWidth="1"/>
    <col min="18" max="18" width="22.88671875" bestFit="1" customWidth="1"/>
    <col min="22" max="22" width="28.77734375" customWidth="1"/>
    <col min="27" max="27" width="17.88671875" bestFit="1" customWidth="1"/>
    <col min="28" max="28" width="24" bestFit="1" customWidth="1"/>
  </cols>
  <sheetData>
    <row r="2" spans="2:28" ht="23.4" x14ac:dyDescent="0.45">
      <c r="B2" s="128" t="s">
        <v>292</v>
      </c>
      <c r="D2" s="355" t="s">
        <v>305</v>
      </c>
      <c r="E2" s="355"/>
      <c r="F2" s="355"/>
      <c r="G2" s="355"/>
      <c r="H2" s="355"/>
      <c r="J2" s="355" t="s">
        <v>306</v>
      </c>
      <c r="K2" s="355"/>
      <c r="L2" s="355"/>
      <c r="M2" s="129"/>
      <c r="N2" s="355" t="s">
        <v>319</v>
      </c>
      <c r="O2" s="355"/>
      <c r="P2" s="355"/>
      <c r="R2" s="355" t="s">
        <v>336</v>
      </c>
      <c r="S2" s="355"/>
      <c r="T2" s="355"/>
      <c r="V2" s="355" t="s">
        <v>345</v>
      </c>
      <c r="W2" s="355"/>
      <c r="X2" s="355"/>
    </row>
    <row r="3" spans="2:28" ht="31.2" x14ac:dyDescent="0.3">
      <c r="AA3" s="131" t="s">
        <v>363</v>
      </c>
    </row>
    <row r="4" spans="2:28" x14ac:dyDescent="0.3">
      <c r="N4" t="s">
        <v>307</v>
      </c>
    </row>
    <row r="5" spans="2:28" x14ac:dyDescent="0.3">
      <c r="B5" t="s">
        <v>245</v>
      </c>
      <c r="D5" t="s">
        <v>293</v>
      </c>
      <c r="J5" t="s">
        <v>307</v>
      </c>
      <c r="N5" t="s">
        <v>320</v>
      </c>
      <c r="R5" t="s">
        <v>318</v>
      </c>
      <c r="V5" t="s">
        <v>315</v>
      </c>
    </row>
    <row r="6" spans="2:28" x14ac:dyDescent="0.3">
      <c r="B6" t="s">
        <v>246</v>
      </c>
      <c r="D6" t="s">
        <v>294</v>
      </c>
      <c r="J6" t="s">
        <v>308</v>
      </c>
      <c r="N6" t="s">
        <v>321</v>
      </c>
      <c r="R6" t="s">
        <v>337</v>
      </c>
      <c r="V6" t="s">
        <v>346</v>
      </c>
      <c r="AA6" s="10" t="s">
        <v>352</v>
      </c>
      <c r="AB6" s="10" t="s">
        <v>353</v>
      </c>
    </row>
    <row r="7" spans="2:28" x14ac:dyDescent="0.3">
      <c r="B7" t="s">
        <v>247</v>
      </c>
      <c r="D7" t="s">
        <v>295</v>
      </c>
      <c r="J7" t="s">
        <v>309</v>
      </c>
      <c r="N7" t="s">
        <v>322</v>
      </c>
      <c r="R7" t="s">
        <v>338</v>
      </c>
      <c r="V7" t="s">
        <v>347</v>
      </c>
      <c r="AA7" s="130" t="s">
        <v>307</v>
      </c>
      <c r="AB7" s="130" t="s">
        <v>354</v>
      </c>
    </row>
    <row r="8" spans="2:28" x14ac:dyDescent="0.3">
      <c r="B8" t="s">
        <v>248</v>
      </c>
      <c r="D8" t="s">
        <v>296</v>
      </c>
      <c r="J8" t="s">
        <v>310</v>
      </c>
      <c r="N8" t="s">
        <v>323</v>
      </c>
      <c r="R8" t="s">
        <v>749</v>
      </c>
      <c r="V8" t="s">
        <v>348</v>
      </c>
      <c r="AA8" s="130" t="s">
        <v>58</v>
      </c>
      <c r="AB8" s="130" t="s">
        <v>355</v>
      </c>
    </row>
    <row r="9" spans="2:28" x14ac:dyDescent="0.3">
      <c r="B9" t="s">
        <v>246</v>
      </c>
      <c r="D9" t="s">
        <v>297</v>
      </c>
      <c r="J9" t="s">
        <v>308</v>
      </c>
      <c r="V9" t="s">
        <v>346</v>
      </c>
      <c r="AA9" s="130" t="s">
        <v>356</v>
      </c>
      <c r="AB9" s="130" t="s">
        <v>355</v>
      </c>
    </row>
    <row r="10" spans="2:28" x14ac:dyDescent="0.3">
      <c r="B10" t="s">
        <v>247</v>
      </c>
      <c r="D10" t="s">
        <v>294</v>
      </c>
      <c r="J10" t="s">
        <v>309</v>
      </c>
      <c r="N10" t="s">
        <v>307</v>
      </c>
      <c r="R10" t="s">
        <v>339</v>
      </c>
      <c r="V10" t="s">
        <v>347</v>
      </c>
      <c r="AA10" s="130" t="s">
        <v>17</v>
      </c>
      <c r="AB10" s="130" t="s">
        <v>357</v>
      </c>
    </row>
    <row r="11" spans="2:28" x14ac:dyDescent="0.3">
      <c r="B11" t="s">
        <v>249</v>
      </c>
      <c r="D11" t="s">
        <v>295</v>
      </c>
      <c r="J11" t="s">
        <v>311</v>
      </c>
      <c r="N11" t="s">
        <v>320</v>
      </c>
      <c r="V11" t="s">
        <v>349</v>
      </c>
      <c r="AA11" s="130" t="s">
        <v>21</v>
      </c>
      <c r="AB11" s="130" t="s">
        <v>358</v>
      </c>
    </row>
    <row r="12" spans="2:28" x14ac:dyDescent="0.3">
      <c r="B12" t="s">
        <v>250</v>
      </c>
      <c r="D12" t="s">
        <v>298</v>
      </c>
      <c r="J12" t="s">
        <v>308</v>
      </c>
      <c r="N12" t="s">
        <v>321</v>
      </c>
      <c r="R12" t="s">
        <v>340</v>
      </c>
      <c r="V12" t="s">
        <v>346</v>
      </c>
      <c r="AA12" s="130" t="s">
        <v>22</v>
      </c>
      <c r="AB12" s="130" t="s">
        <v>329</v>
      </c>
    </row>
    <row r="13" spans="2:28" x14ac:dyDescent="0.3">
      <c r="B13" t="s">
        <v>251</v>
      </c>
      <c r="D13" t="s">
        <v>299</v>
      </c>
      <c r="J13" t="s">
        <v>309</v>
      </c>
      <c r="N13" t="s">
        <v>41</v>
      </c>
      <c r="V13" t="s">
        <v>347</v>
      </c>
      <c r="AA13" s="130" t="s">
        <v>24</v>
      </c>
      <c r="AB13" s="130" t="s">
        <v>359</v>
      </c>
    </row>
    <row r="14" spans="2:28" x14ac:dyDescent="0.3">
      <c r="B14" t="s">
        <v>252</v>
      </c>
      <c r="D14" t="s">
        <v>294</v>
      </c>
      <c r="J14" t="s">
        <v>312</v>
      </c>
      <c r="N14" t="s">
        <v>324</v>
      </c>
      <c r="R14" t="s">
        <v>341</v>
      </c>
      <c r="V14" t="s">
        <v>750</v>
      </c>
      <c r="AA14" s="130" t="s">
        <v>322</v>
      </c>
      <c r="AB14" s="130" t="s">
        <v>360</v>
      </c>
    </row>
    <row r="15" spans="2:28" x14ac:dyDescent="0.3">
      <c r="B15" t="s">
        <v>253</v>
      </c>
      <c r="D15" t="s">
        <v>295</v>
      </c>
      <c r="J15" t="s">
        <v>308</v>
      </c>
      <c r="V15" t="s">
        <v>346</v>
      </c>
      <c r="AA15" s="130" t="s">
        <v>41</v>
      </c>
      <c r="AB15" s="130" t="s">
        <v>142</v>
      </c>
    </row>
    <row r="16" spans="2:28" x14ac:dyDescent="0.3">
      <c r="B16" t="s">
        <v>246</v>
      </c>
      <c r="D16" t="s">
        <v>300</v>
      </c>
      <c r="J16" t="s">
        <v>309</v>
      </c>
      <c r="N16" t="s">
        <v>58</v>
      </c>
      <c r="R16" t="s">
        <v>342</v>
      </c>
      <c r="V16" t="s">
        <v>347</v>
      </c>
      <c r="AA16" s="130" t="s">
        <v>325</v>
      </c>
      <c r="AB16" s="130" t="s">
        <v>141</v>
      </c>
    </row>
    <row r="17" spans="2:28" x14ac:dyDescent="0.3">
      <c r="B17" t="s">
        <v>247</v>
      </c>
      <c r="D17" t="s">
        <v>294</v>
      </c>
      <c r="J17" t="s">
        <v>60</v>
      </c>
      <c r="N17" t="s">
        <v>320</v>
      </c>
      <c r="V17" t="s">
        <v>340</v>
      </c>
      <c r="AA17" s="130" t="s">
        <v>328</v>
      </c>
      <c r="AB17" s="130" t="s">
        <v>361</v>
      </c>
    </row>
    <row r="18" spans="2:28" x14ac:dyDescent="0.3">
      <c r="B18" t="s">
        <v>254</v>
      </c>
      <c r="D18" t="s">
        <v>295</v>
      </c>
      <c r="J18" t="s">
        <v>308</v>
      </c>
      <c r="N18" t="s">
        <v>321</v>
      </c>
      <c r="R18" t="s">
        <v>343</v>
      </c>
      <c r="V18" t="s">
        <v>346</v>
      </c>
      <c r="AA18" s="130" t="s">
        <v>362</v>
      </c>
      <c r="AB18" s="130" t="s">
        <v>88</v>
      </c>
    </row>
    <row r="19" spans="2:28" x14ac:dyDescent="0.3">
      <c r="B19" t="s">
        <v>255</v>
      </c>
      <c r="D19" t="s">
        <v>301</v>
      </c>
      <c r="J19" t="s">
        <v>309</v>
      </c>
      <c r="N19" t="s">
        <v>325</v>
      </c>
      <c r="R19" t="s">
        <v>344</v>
      </c>
      <c r="V19" t="s">
        <v>347</v>
      </c>
    </row>
    <row r="20" spans="2:28" x14ac:dyDescent="0.3">
      <c r="B20" t="s">
        <v>246</v>
      </c>
      <c r="D20" t="s">
        <v>302</v>
      </c>
      <c r="J20" t="s">
        <v>313</v>
      </c>
      <c r="N20" t="s">
        <v>326</v>
      </c>
      <c r="V20" t="s">
        <v>350</v>
      </c>
    </row>
    <row r="21" spans="2:28" x14ac:dyDescent="0.3">
      <c r="B21" t="s">
        <v>247</v>
      </c>
      <c r="D21" t="s">
        <v>303</v>
      </c>
      <c r="J21" t="s">
        <v>314</v>
      </c>
      <c r="V21" t="s">
        <v>346</v>
      </c>
    </row>
    <row r="22" spans="2:28" ht="31.2" x14ac:dyDescent="0.3">
      <c r="B22" t="s">
        <v>256</v>
      </c>
      <c r="D22" t="s">
        <v>294</v>
      </c>
      <c r="J22" t="s">
        <v>308</v>
      </c>
      <c r="N22" t="s">
        <v>327</v>
      </c>
      <c r="V22" t="s">
        <v>347</v>
      </c>
      <c r="AA22" s="131" t="s">
        <v>367</v>
      </c>
    </row>
    <row r="23" spans="2:28" x14ac:dyDescent="0.3">
      <c r="B23" t="s">
        <v>257</v>
      </c>
      <c r="D23" t="s">
        <v>295</v>
      </c>
      <c r="J23" t="s">
        <v>309</v>
      </c>
      <c r="N23" t="s">
        <v>320</v>
      </c>
      <c r="V23" t="s">
        <v>351</v>
      </c>
      <c r="AA23" s="22"/>
    </row>
    <row r="24" spans="2:28" x14ac:dyDescent="0.3">
      <c r="B24" t="s">
        <v>250</v>
      </c>
      <c r="D24" t="s">
        <v>304</v>
      </c>
      <c r="J24" t="s">
        <v>63</v>
      </c>
      <c r="N24" t="s">
        <v>321</v>
      </c>
      <c r="AA24" s="60" t="s">
        <v>368</v>
      </c>
    </row>
    <row r="25" spans="2:28" x14ac:dyDescent="0.3">
      <c r="B25" t="s">
        <v>258</v>
      </c>
      <c r="J25" t="s">
        <v>308</v>
      </c>
      <c r="N25" t="s">
        <v>328</v>
      </c>
      <c r="AA25" s="60" t="s">
        <v>369</v>
      </c>
    </row>
    <row r="26" spans="2:28" x14ac:dyDescent="0.3">
      <c r="B26" t="s">
        <v>259</v>
      </c>
      <c r="J26" t="s">
        <v>309</v>
      </c>
      <c r="AA26" s="60" t="s">
        <v>370</v>
      </c>
    </row>
    <row r="27" spans="2:28" x14ac:dyDescent="0.3">
      <c r="B27" t="s">
        <v>260</v>
      </c>
      <c r="J27" t="s">
        <v>21</v>
      </c>
      <c r="N27" t="s">
        <v>329</v>
      </c>
      <c r="AA27" s="60" t="s">
        <v>371</v>
      </c>
    </row>
    <row r="28" spans="2:28" x14ac:dyDescent="0.3">
      <c r="B28" t="s">
        <v>261</v>
      </c>
      <c r="J28" t="s">
        <v>308</v>
      </c>
      <c r="N28" t="s">
        <v>320</v>
      </c>
      <c r="AA28" s="60" t="s">
        <v>372</v>
      </c>
    </row>
    <row r="29" spans="2:28" x14ac:dyDescent="0.3">
      <c r="B29" t="s">
        <v>246</v>
      </c>
      <c r="J29" t="s">
        <v>309</v>
      </c>
      <c r="N29" t="s">
        <v>321</v>
      </c>
      <c r="AA29" s="60" t="s">
        <v>373</v>
      </c>
    </row>
    <row r="30" spans="2:28" x14ac:dyDescent="0.3">
      <c r="B30" t="s">
        <v>247</v>
      </c>
      <c r="J30" t="s">
        <v>315</v>
      </c>
      <c r="N30" t="s">
        <v>330</v>
      </c>
      <c r="V30" s="8">
        <v>46212</v>
      </c>
      <c r="AA30" s="60" t="s">
        <v>374</v>
      </c>
    </row>
    <row r="31" spans="2:28" x14ac:dyDescent="0.3">
      <c r="B31" t="s">
        <v>262</v>
      </c>
      <c r="J31" t="s">
        <v>308</v>
      </c>
      <c r="V31" s="12"/>
      <c r="AA31" s="60" t="s">
        <v>375</v>
      </c>
    </row>
    <row r="32" spans="2:28" x14ac:dyDescent="0.3">
      <c r="B32" t="s">
        <v>246</v>
      </c>
      <c r="J32" t="s">
        <v>309</v>
      </c>
      <c r="N32" t="s">
        <v>331</v>
      </c>
      <c r="V32" s="12"/>
      <c r="AA32" s="60" t="s">
        <v>376</v>
      </c>
    </row>
    <row r="33" spans="2:27" x14ac:dyDescent="0.3">
      <c r="B33" t="s">
        <v>247</v>
      </c>
      <c r="J33" t="s">
        <v>316</v>
      </c>
      <c r="V33" s="12"/>
      <c r="AA33" s="60" t="s">
        <v>377</v>
      </c>
    </row>
    <row r="34" spans="2:27" x14ac:dyDescent="0.3">
      <c r="B34" t="s">
        <v>263</v>
      </c>
      <c r="J34" t="s">
        <v>317</v>
      </c>
      <c r="N34" t="s">
        <v>332</v>
      </c>
      <c r="V34" s="12"/>
    </row>
    <row r="35" spans="2:27" x14ac:dyDescent="0.3">
      <c r="B35" t="s">
        <v>264</v>
      </c>
      <c r="J35" t="s">
        <v>308</v>
      </c>
      <c r="N35" t="s">
        <v>333</v>
      </c>
      <c r="V35" s="12"/>
    </row>
    <row r="36" spans="2:27" x14ac:dyDescent="0.3">
      <c r="B36" t="s">
        <v>246</v>
      </c>
      <c r="J36" t="s">
        <v>309</v>
      </c>
      <c r="V36" s="12"/>
    </row>
    <row r="37" spans="2:27" x14ac:dyDescent="0.3">
      <c r="B37" t="s">
        <v>247</v>
      </c>
      <c r="J37" t="s">
        <v>67</v>
      </c>
      <c r="N37" t="s">
        <v>334</v>
      </c>
    </row>
    <row r="38" spans="2:27" x14ac:dyDescent="0.3">
      <c r="B38" t="s">
        <v>265</v>
      </c>
      <c r="J38" t="s">
        <v>308</v>
      </c>
    </row>
    <row r="39" spans="2:27" x14ac:dyDescent="0.3">
      <c r="B39" t="s">
        <v>246</v>
      </c>
      <c r="J39" t="s">
        <v>309</v>
      </c>
      <c r="N39" t="s">
        <v>335</v>
      </c>
    </row>
    <row r="40" spans="2:27" x14ac:dyDescent="0.3">
      <c r="B40" t="s">
        <v>266</v>
      </c>
      <c r="J40" t="s">
        <v>24</v>
      </c>
    </row>
    <row r="41" spans="2:27" x14ac:dyDescent="0.3">
      <c r="B41" t="s">
        <v>267</v>
      </c>
      <c r="J41" t="s">
        <v>308</v>
      </c>
    </row>
    <row r="42" spans="2:27" x14ac:dyDescent="0.3">
      <c r="B42" t="s">
        <v>268</v>
      </c>
      <c r="J42" t="s">
        <v>309</v>
      </c>
    </row>
    <row r="43" spans="2:27" x14ac:dyDescent="0.3">
      <c r="B43" t="s">
        <v>269</v>
      </c>
      <c r="J43" t="s">
        <v>318</v>
      </c>
    </row>
    <row r="44" spans="2:27" x14ac:dyDescent="0.3">
      <c r="B44" t="s">
        <v>270</v>
      </c>
    </row>
    <row r="45" spans="2:27" x14ac:dyDescent="0.3">
      <c r="B45" t="s">
        <v>267</v>
      </c>
    </row>
    <row r="46" spans="2:27" ht="23.4" x14ac:dyDescent="0.45">
      <c r="B46" t="s">
        <v>271</v>
      </c>
      <c r="I46" s="354" t="s">
        <v>516</v>
      </c>
      <c r="J46" s="354"/>
      <c r="K46" s="175"/>
    </row>
    <row r="47" spans="2:27" x14ac:dyDescent="0.3">
      <c r="B47" t="s">
        <v>272</v>
      </c>
      <c r="O47" s="10" t="s">
        <v>388</v>
      </c>
      <c r="P47" s="10" t="s">
        <v>389</v>
      </c>
    </row>
    <row r="48" spans="2:27" x14ac:dyDescent="0.3">
      <c r="B48" t="s">
        <v>270</v>
      </c>
      <c r="O48" s="130" t="s">
        <v>527</v>
      </c>
      <c r="P48" s="130" t="s">
        <v>528</v>
      </c>
    </row>
    <row r="49" spans="2:16" x14ac:dyDescent="0.3">
      <c r="B49" t="s">
        <v>273</v>
      </c>
      <c r="I49" t="s">
        <v>517</v>
      </c>
      <c r="O49" s="130" t="s">
        <v>521</v>
      </c>
      <c r="P49" s="130" t="s">
        <v>529</v>
      </c>
    </row>
    <row r="50" spans="2:16" x14ac:dyDescent="0.3">
      <c r="B50" t="s">
        <v>274</v>
      </c>
      <c r="I50" t="s">
        <v>518</v>
      </c>
      <c r="O50" s="130" t="s">
        <v>523</v>
      </c>
      <c r="P50" s="130" t="s">
        <v>530</v>
      </c>
    </row>
    <row r="51" spans="2:16" x14ac:dyDescent="0.3">
      <c r="B51" t="s">
        <v>275</v>
      </c>
      <c r="I51" t="s">
        <v>519</v>
      </c>
      <c r="O51" s="130" t="s">
        <v>525</v>
      </c>
      <c r="P51" s="130" t="s">
        <v>531</v>
      </c>
    </row>
    <row r="52" spans="2:16" x14ac:dyDescent="0.3">
      <c r="B52" t="s">
        <v>276</v>
      </c>
      <c r="I52" t="s">
        <v>520</v>
      </c>
      <c r="O52" s="130" t="s">
        <v>532</v>
      </c>
      <c r="P52" s="130" t="s">
        <v>533</v>
      </c>
    </row>
    <row r="53" spans="2:16" x14ac:dyDescent="0.3">
      <c r="B53" t="s">
        <v>277</v>
      </c>
      <c r="I53" t="s">
        <v>518</v>
      </c>
    </row>
    <row r="54" spans="2:16" x14ac:dyDescent="0.3">
      <c r="B54" t="s">
        <v>274</v>
      </c>
      <c r="I54" t="s">
        <v>519</v>
      </c>
    </row>
    <row r="55" spans="2:16" x14ac:dyDescent="0.3">
      <c r="B55" t="s">
        <v>278</v>
      </c>
      <c r="I55" t="s">
        <v>521</v>
      </c>
    </row>
    <row r="56" spans="2:16" x14ac:dyDescent="0.3">
      <c r="B56" t="s">
        <v>279</v>
      </c>
      <c r="I56" t="s">
        <v>522</v>
      </c>
    </row>
    <row r="57" spans="2:16" x14ac:dyDescent="0.3">
      <c r="B57" t="s">
        <v>277</v>
      </c>
      <c r="I57" t="s">
        <v>518</v>
      </c>
    </row>
    <row r="58" spans="2:16" x14ac:dyDescent="0.3">
      <c r="B58" t="s">
        <v>274</v>
      </c>
      <c r="I58" t="s">
        <v>519</v>
      </c>
    </row>
    <row r="59" spans="2:16" x14ac:dyDescent="0.3">
      <c r="B59" t="s">
        <v>280</v>
      </c>
      <c r="I59" t="s">
        <v>523</v>
      </c>
    </row>
    <row r="60" spans="2:16" x14ac:dyDescent="0.3">
      <c r="B60" t="s">
        <v>281</v>
      </c>
      <c r="I60" t="s">
        <v>524</v>
      </c>
    </row>
    <row r="61" spans="2:16" x14ac:dyDescent="0.3">
      <c r="B61" t="s">
        <v>277</v>
      </c>
      <c r="I61" t="s">
        <v>518</v>
      </c>
    </row>
    <row r="62" spans="2:16" x14ac:dyDescent="0.3">
      <c r="B62" t="s">
        <v>274</v>
      </c>
      <c r="I62" t="s">
        <v>519</v>
      </c>
    </row>
    <row r="63" spans="2:16" x14ac:dyDescent="0.3">
      <c r="B63" t="s">
        <v>282</v>
      </c>
      <c r="I63" t="s">
        <v>525</v>
      </c>
    </row>
    <row r="64" spans="2:16" x14ac:dyDescent="0.3">
      <c r="B64" t="s">
        <v>277</v>
      </c>
      <c r="I64" t="s">
        <v>526</v>
      </c>
    </row>
    <row r="65" spans="2:2" x14ac:dyDescent="0.3">
      <c r="B65" t="s">
        <v>274</v>
      </c>
    </row>
    <row r="66" spans="2:2" x14ac:dyDescent="0.3">
      <c r="B66" t="s">
        <v>283</v>
      </c>
    </row>
    <row r="67" spans="2:2" x14ac:dyDescent="0.3">
      <c r="B67" t="s">
        <v>277</v>
      </c>
    </row>
    <row r="68" spans="2:2" x14ac:dyDescent="0.3">
      <c r="B68" t="s">
        <v>284</v>
      </c>
    </row>
    <row r="69" spans="2:2" x14ac:dyDescent="0.3">
      <c r="B69" t="s">
        <v>285</v>
      </c>
    </row>
    <row r="70" spans="2:2" x14ac:dyDescent="0.3">
      <c r="B70" t="s">
        <v>277</v>
      </c>
    </row>
    <row r="71" spans="2:2" x14ac:dyDescent="0.3">
      <c r="B71" t="s">
        <v>274</v>
      </c>
    </row>
    <row r="72" spans="2:2" x14ac:dyDescent="0.3">
      <c r="B72" t="s">
        <v>286</v>
      </c>
    </row>
    <row r="73" spans="2:2" x14ac:dyDescent="0.3">
      <c r="B73" t="s">
        <v>277</v>
      </c>
    </row>
    <row r="74" spans="2:2" x14ac:dyDescent="0.3">
      <c r="B74" t="s">
        <v>287</v>
      </c>
    </row>
    <row r="75" spans="2:2" x14ac:dyDescent="0.3">
      <c r="B75" t="s">
        <v>277</v>
      </c>
    </row>
    <row r="76" spans="2:2" x14ac:dyDescent="0.3">
      <c r="B76" t="s">
        <v>274</v>
      </c>
    </row>
    <row r="77" spans="2:2" x14ac:dyDescent="0.3">
      <c r="B77" t="s">
        <v>288</v>
      </c>
    </row>
    <row r="78" spans="2:2" x14ac:dyDescent="0.3">
      <c r="B78" t="s">
        <v>277</v>
      </c>
    </row>
    <row r="79" spans="2:2" x14ac:dyDescent="0.3">
      <c r="B79" t="s">
        <v>289</v>
      </c>
    </row>
    <row r="80" spans="2:2" x14ac:dyDescent="0.3">
      <c r="B80" t="s">
        <v>277</v>
      </c>
    </row>
    <row r="81" spans="2:2" x14ac:dyDescent="0.3">
      <c r="B81" t="s">
        <v>274</v>
      </c>
    </row>
    <row r="82" spans="2:2" x14ac:dyDescent="0.3">
      <c r="B82" t="s">
        <v>290</v>
      </c>
    </row>
    <row r="83" spans="2:2" x14ac:dyDescent="0.3">
      <c r="B83" t="s">
        <v>291</v>
      </c>
    </row>
  </sheetData>
  <mergeCells count="6">
    <mergeCell ref="I46:J46"/>
    <mergeCell ref="V2:X2"/>
    <mergeCell ref="D2:H2"/>
    <mergeCell ref="J2:L2"/>
    <mergeCell ref="N2:P2"/>
    <mergeCell ref="R2:T2"/>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4DDB-FD95-4388-89A0-A6124F7E9AAA}">
  <sheetPr>
    <tabColor rgb="FF002060"/>
  </sheetPr>
  <dimension ref="A1:M51"/>
  <sheetViews>
    <sheetView showGridLines="0" topLeftCell="A32" workbookViewId="0">
      <selection activeCell="E54" sqref="E54"/>
    </sheetView>
  </sheetViews>
  <sheetFormatPr defaultRowHeight="14.4" x14ac:dyDescent="0.3"/>
  <cols>
    <col min="1" max="1" width="1.88671875" customWidth="1"/>
    <col min="2" max="2" width="38.33203125" bestFit="1" customWidth="1"/>
    <col min="4" max="4" width="11" customWidth="1"/>
    <col min="5" max="5" width="10.6640625" bestFit="1" customWidth="1"/>
    <col min="6" max="6" width="9.6640625" customWidth="1"/>
    <col min="9" max="9" width="10.33203125" bestFit="1" customWidth="1"/>
    <col min="10" max="10" width="9.77734375" customWidth="1"/>
    <col min="11" max="11" width="12.77734375" customWidth="1"/>
    <col min="12" max="12" width="21.33203125" bestFit="1" customWidth="1"/>
    <col min="16" max="16" width="11.77734375" customWidth="1"/>
  </cols>
  <sheetData>
    <row r="1" spans="1:13" ht="7.2" customHeight="1" x14ac:dyDescent="0.3">
      <c r="A1" s="252"/>
      <c r="B1" s="252"/>
      <c r="C1" s="252"/>
      <c r="D1" s="252"/>
      <c r="E1" s="252"/>
      <c r="F1" s="252"/>
      <c r="G1" s="252"/>
      <c r="H1" s="252"/>
      <c r="I1" s="252"/>
      <c r="J1" s="252"/>
      <c r="K1" s="252"/>
    </row>
    <row r="6" spans="1:13" ht="19.8" x14ac:dyDescent="0.4">
      <c r="B6" s="253" t="s">
        <v>751</v>
      </c>
      <c r="C6" s="253"/>
      <c r="D6" s="253"/>
      <c r="E6" s="253"/>
      <c r="F6" s="253"/>
      <c r="G6" s="253"/>
      <c r="H6" s="253"/>
      <c r="I6" s="253"/>
      <c r="J6" s="253"/>
      <c r="K6" s="253"/>
      <c r="L6" s="163"/>
      <c r="M6" s="163"/>
    </row>
    <row r="8" spans="1:13" x14ac:dyDescent="0.3">
      <c r="B8" s="117" t="s">
        <v>214</v>
      </c>
      <c r="C8" s="117"/>
      <c r="D8" s="117"/>
      <c r="E8" s="117"/>
      <c r="F8" s="117"/>
      <c r="I8" s="8"/>
    </row>
    <row r="10" spans="1:13" x14ac:dyDescent="0.3">
      <c r="B10" t="s">
        <v>215</v>
      </c>
    </row>
    <row r="11" spans="1:13" ht="15" thickBot="1" x14ac:dyDescent="0.35"/>
    <row r="12" spans="1:13" x14ac:dyDescent="0.3">
      <c r="B12" s="118"/>
      <c r="C12" s="118"/>
      <c r="D12" s="118"/>
      <c r="E12" s="118"/>
      <c r="F12" s="118"/>
      <c r="G12" s="119" t="s">
        <v>222</v>
      </c>
      <c r="H12" s="119" t="s">
        <v>222</v>
      </c>
      <c r="I12" s="119" t="s">
        <v>225</v>
      </c>
      <c r="J12" s="119" t="s">
        <v>227</v>
      </c>
      <c r="K12" s="167"/>
    </row>
    <row r="13" spans="1:13" ht="16.8" thickBot="1" x14ac:dyDescent="0.35">
      <c r="B13" s="93" t="s">
        <v>216</v>
      </c>
      <c r="C13" s="93" t="s">
        <v>217</v>
      </c>
      <c r="D13" s="93" t="s">
        <v>218</v>
      </c>
      <c r="E13" s="93" t="s">
        <v>219</v>
      </c>
      <c r="F13" s="93" t="s">
        <v>221</v>
      </c>
      <c r="G13" s="93" t="s">
        <v>223</v>
      </c>
      <c r="H13" s="93" t="s">
        <v>224</v>
      </c>
      <c r="I13" s="93" t="s">
        <v>226</v>
      </c>
      <c r="J13" s="93" t="s">
        <v>228</v>
      </c>
    </row>
    <row r="15" spans="1:13" x14ac:dyDescent="0.3">
      <c r="B15" s="121" t="s">
        <v>231</v>
      </c>
      <c r="C15" s="120" t="s">
        <v>230</v>
      </c>
      <c r="D15" s="169">
        <v>444.16</v>
      </c>
      <c r="E15" s="169">
        <v>280608.3</v>
      </c>
      <c r="F15" s="170">
        <v>0.3</v>
      </c>
      <c r="G15" s="122">
        <f>D15/E15</f>
        <v>1.5828469792233517E-3</v>
      </c>
      <c r="H15" s="122">
        <f>D15/(D15+E15)</f>
        <v>1.5803455340686222E-3</v>
      </c>
      <c r="I15" s="169">
        <v>0.78800000000000003</v>
      </c>
      <c r="J15" s="123">
        <f>I15/(1+(1-F15)*G15)</f>
        <v>0.78712786792239764</v>
      </c>
    </row>
    <row r="16" spans="1:13" x14ac:dyDescent="0.3">
      <c r="B16" s="120" t="s">
        <v>229</v>
      </c>
      <c r="C16" s="120" t="s">
        <v>230</v>
      </c>
      <c r="D16" s="171">
        <v>1478</v>
      </c>
      <c r="E16" s="171">
        <v>505303.1</v>
      </c>
      <c r="F16" s="170">
        <v>0.3</v>
      </c>
      <c r="G16" s="122">
        <f>D16/E16</f>
        <v>2.9249771077992596E-3</v>
      </c>
      <c r="H16" s="122">
        <f>D16/(D16+E16)</f>
        <v>2.9164465683507142E-3</v>
      </c>
      <c r="I16" s="169">
        <v>0.504</v>
      </c>
      <c r="J16" s="123">
        <f t="shared" ref="J16:J20" si="0">I16/(1+(1-F16)*G16)</f>
        <v>0.50297017662322996</v>
      </c>
      <c r="K16" s="134"/>
    </row>
    <row r="17" spans="2:13" x14ac:dyDescent="0.3">
      <c r="B17" s="120" t="s">
        <v>232</v>
      </c>
      <c r="C17" s="120" t="s">
        <v>230</v>
      </c>
      <c r="D17" s="171">
        <v>1380.28</v>
      </c>
      <c r="E17" s="171">
        <v>128936.8</v>
      </c>
      <c r="F17" s="170">
        <v>0.3</v>
      </c>
      <c r="G17" s="122">
        <f t="shared" ref="G17:G20" si="1">D17/E17</f>
        <v>1.07050896253048E-2</v>
      </c>
      <c r="H17" s="122">
        <f t="shared" ref="H17:H20" si="2">D17/(D17+E17)</f>
        <v>1.05917044795663E-2</v>
      </c>
      <c r="I17" s="169">
        <v>0.372</v>
      </c>
      <c r="J17" s="123">
        <f t="shared" si="0"/>
        <v>0.36923312838758549</v>
      </c>
      <c r="K17" s="134"/>
    </row>
    <row r="18" spans="2:13" x14ac:dyDescent="0.3">
      <c r="B18" s="120" t="s">
        <v>233</v>
      </c>
      <c r="C18" s="120" t="s">
        <v>230</v>
      </c>
      <c r="D18" s="171">
        <v>4415.8100000000004</v>
      </c>
      <c r="E18" s="171">
        <v>111376.51</v>
      </c>
      <c r="F18" s="170">
        <v>0.3</v>
      </c>
      <c r="G18" s="122">
        <f t="shared" si="1"/>
        <v>3.9647588167379282E-2</v>
      </c>
      <c r="H18" s="122">
        <f t="shared" si="2"/>
        <v>3.8135603466620246E-2</v>
      </c>
      <c r="I18" s="169">
        <v>1.04</v>
      </c>
      <c r="J18" s="123">
        <f t="shared" si="0"/>
        <v>1.0119159803653397</v>
      </c>
      <c r="K18" s="134"/>
    </row>
    <row r="19" spans="2:13" x14ac:dyDescent="0.3">
      <c r="B19" s="120" t="s">
        <v>451</v>
      </c>
      <c r="C19" s="120" t="s">
        <v>230</v>
      </c>
      <c r="D19" s="171">
        <v>2819.51</v>
      </c>
      <c r="E19" s="171">
        <v>110039.4</v>
      </c>
      <c r="F19" s="170">
        <v>0.3</v>
      </c>
      <c r="G19" s="122">
        <f t="shared" si="1"/>
        <v>2.562273149435566E-2</v>
      </c>
      <c r="H19" s="122">
        <f t="shared" si="2"/>
        <v>2.4982608816618915E-2</v>
      </c>
      <c r="I19" s="169">
        <v>0.42599999999999999</v>
      </c>
      <c r="J19" s="123">
        <f t="shared" si="0"/>
        <v>0.41849392968535803</v>
      </c>
      <c r="K19" s="134"/>
    </row>
    <row r="20" spans="2:13" x14ac:dyDescent="0.3">
      <c r="B20" s="120" t="s">
        <v>234</v>
      </c>
      <c r="C20" s="120" t="s">
        <v>230</v>
      </c>
      <c r="D20" s="171">
        <v>1287.32</v>
      </c>
      <c r="E20" s="171">
        <v>78674.789999999994</v>
      </c>
      <c r="F20" s="170">
        <v>0.3</v>
      </c>
      <c r="G20" s="122">
        <f t="shared" si="1"/>
        <v>1.6362547647092544E-2</v>
      </c>
      <c r="H20" s="122">
        <f t="shared" si="2"/>
        <v>1.609912494805352E-2</v>
      </c>
      <c r="I20" s="169">
        <v>0.92700000000000005</v>
      </c>
      <c r="J20" s="123">
        <f t="shared" si="0"/>
        <v>0.91650257802882407</v>
      </c>
      <c r="K20" s="134"/>
    </row>
    <row r="22" spans="2:13" ht="15" thickBot="1" x14ac:dyDescent="0.35"/>
    <row r="23" spans="2:13" x14ac:dyDescent="0.3">
      <c r="E23" s="146" t="s">
        <v>237</v>
      </c>
      <c r="F23" s="147">
        <f>AVERAGE(F15:F20)</f>
        <v>0.3</v>
      </c>
      <c r="G23" s="148">
        <f>AVERAGE(G16:G20)</f>
        <v>1.9052586808386306E-2</v>
      </c>
      <c r="H23" s="148">
        <f t="shared" ref="H23" si="3">AVERAGE(H16:H20)</f>
        <v>1.854509765584194E-2</v>
      </c>
      <c r="I23" s="146">
        <f>AVERAGE(I15:I20)</f>
        <v>0.67616666666666669</v>
      </c>
      <c r="J23" s="149">
        <f>AVERAGE(J15:J20)</f>
        <v>0.66770727683545583</v>
      </c>
      <c r="K23" s="166"/>
      <c r="L23" s="26"/>
    </row>
    <row r="24" spans="2:13" ht="15" thickBot="1" x14ac:dyDescent="0.35">
      <c r="E24" s="150" t="s">
        <v>157</v>
      </c>
      <c r="F24" s="151">
        <f>MEDIAN(F15:F20)</f>
        <v>0.3</v>
      </c>
      <c r="G24" s="152">
        <f>MEDIAN(G16:G20)</f>
        <v>1.6362547647092544E-2</v>
      </c>
      <c r="H24" s="152">
        <f t="shared" ref="H24" si="4">MEDIAN(H16:H20)</f>
        <v>1.609912494805352E-2</v>
      </c>
      <c r="I24" s="150">
        <f>MEDIAN(I15:I20)</f>
        <v>0.64600000000000002</v>
      </c>
      <c r="J24" s="153">
        <f>MEDIAN(J15:J20)</f>
        <v>0.6450490222728138</v>
      </c>
      <c r="K24" s="166"/>
      <c r="L24" s="26"/>
    </row>
    <row r="27" spans="2:13" ht="15" thickBot="1" x14ac:dyDescent="0.35">
      <c r="B27" s="96" t="s">
        <v>238</v>
      </c>
      <c r="C27" s="93"/>
      <c r="D27" s="93"/>
      <c r="G27" s="96" t="s">
        <v>383</v>
      </c>
      <c r="H27" s="93"/>
      <c r="I27" s="93"/>
      <c r="J27" s="96"/>
      <c r="K27" s="93"/>
    </row>
    <row r="29" spans="2:13" x14ac:dyDescent="0.3">
      <c r="B29" t="s">
        <v>239</v>
      </c>
      <c r="D29" s="177">
        <f>37/D15</f>
        <v>8.3303314121037461E-2</v>
      </c>
      <c r="E29" t="s">
        <v>537</v>
      </c>
      <c r="G29" t="s">
        <v>241</v>
      </c>
      <c r="K29" s="172">
        <v>6.7159999999999997E-2</v>
      </c>
      <c r="L29" s="249" t="s">
        <v>513</v>
      </c>
      <c r="M29" s="249"/>
    </row>
    <row r="30" spans="2:13" x14ac:dyDescent="0.3">
      <c r="B30" s="125" t="s">
        <v>220</v>
      </c>
      <c r="C30" s="125"/>
      <c r="D30" s="173">
        <f>F15</f>
        <v>0.3</v>
      </c>
      <c r="G30" t="s">
        <v>242</v>
      </c>
      <c r="K30" s="176">
        <f>Rm!I5-'WACC (2)'!K29</f>
        <v>8.4332307692307706E-2</v>
      </c>
      <c r="L30" s="249" t="s">
        <v>514</v>
      </c>
      <c r="M30" s="249"/>
    </row>
    <row r="31" spans="2:13" ht="16.2" x14ac:dyDescent="0.3">
      <c r="B31" s="154" t="s">
        <v>382</v>
      </c>
      <c r="C31" s="154"/>
      <c r="D31" s="127">
        <f>D29*(1-D30)</f>
        <v>5.8312319884726217E-2</v>
      </c>
      <c r="G31" t="s">
        <v>244</v>
      </c>
      <c r="K31" s="134">
        <f>K40</f>
        <v>0.65358099654651503</v>
      </c>
    </row>
    <row r="32" spans="2:13" x14ac:dyDescent="0.3">
      <c r="G32" s="155" t="s">
        <v>240</v>
      </c>
      <c r="H32" s="155"/>
      <c r="I32" s="155"/>
      <c r="J32" s="155"/>
      <c r="K32" s="174">
        <f>K29+K30*K31</f>
        <v>0.12227799370260581</v>
      </c>
      <c r="L32" s="156"/>
    </row>
    <row r="35" spans="2:12" ht="15" thickBot="1" x14ac:dyDescent="0.35">
      <c r="B35" s="96" t="s">
        <v>364</v>
      </c>
      <c r="C35" s="93"/>
      <c r="D35" s="93"/>
      <c r="G35" s="96" t="s">
        <v>243</v>
      </c>
      <c r="H35" s="93"/>
      <c r="I35" s="93"/>
      <c r="J35" s="96"/>
      <c r="K35" s="93"/>
    </row>
    <row r="36" spans="2:12" x14ac:dyDescent="0.3">
      <c r="E36" s="118"/>
    </row>
    <row r="37" spans="2:12" x14ac:dyDescent="0.3">
      <c r="D37" s="132" t="s">
        <v>365</v>
      </c>
      <c r="E37" s="132" t="s">
        <v>366</v>
      </c>
      <c r="G37" t="s">
        <v>379</v>
      </c>
      <c r="K37" s="134">
        <f>J24</f>
        <v>0.6450490222728138</v>
      </c>
    </row>
    <row r="38" spans="2:12" x14ac:dyDescent="0.3">
      <c r="B38" t="s">
        <v>218</v>
      </c>
      <c r="C38" s="157">
        <f>D15</f>
        <v>444.16</v>
      </c>
      <c r="D38" s="58">
        <f>C38/C40</f>
        <v>1.5803455340686222E-3</v>
      </c>
      <c r="E38" s="158">
        <f>H23</f>
        <v>1.854509765584194E-2</v>
      </c>
      <c r="G38" t="s">
        <v>380</v>
      </c>
      <c r="K38" s="135">
        <f>E43</f>
        <v>1.8895516861292205E-2</v>
      </c>
    </row>
    <row r="39" spans="2:12" x14ac:dyDescent="0.3">
      <c r="B39" t="s">
        <v>9</v>
      </c>
      <c r="C39" s="157">
        <f>E15</f>
        <v>280608.3</v>
      </c>
      <c r="D39" s="58">
        <f>C39/C40</f>
        <v>0.99841965446593151</v>
      </c>
      <c r="E39" s="124">
        <f>E40-E38</f>
        <v>0.98145490234415833</v>
      </c>
      <c r="G39" t="s">
        <v>220</v>
      </c>
      <c r="K39" s="124">
        <f>D30</f>
        <v>0.3</v>
      </c>
    </row>
    <row r="40" spans="2:12" x14ac:dyDescent="0.3">
      <c r="B40" s="126" t="s">
        <v>378</v>
      </c>
      <c r="C40" s="168">
        <f>SUM(C38:C39)</f>
        <v>281052.45999999996</v>
      </c>
      <c r="D40" s="133">
        <f>SUM(D38:D39)</f>
        <v>1.0000000000000002</v>
      </c>
      <c r="E40" s="133">
        <f>D40</f>
        <v>1.0000000000000002</v>
      </c>
      <c r="G40" s="155" t="s">
        <v>243</v>
      </c>
      <c r="H40" s="155"/>
      <c r="I40" s="155"/>
      <c r="J40" s="155"/>
      <c r="K40" s="136">
        <f>K37*(1+(1-K39)*K38)</f>
        <v>0.65358099654651503</v>
      </c>
    </row>
    <row r="43" spans="2:12" ht="15" thickBot="1" x14ac:dyDescent="0.35">
      <c r="B43" s="154" t="s">
        <v>381</v>
      </c>
      <c r="C43" s="154"/>
      <c r="D43" s="127">
        <f>D38/D39</f>
        <v>1.5828469792233517E-3</v>
      </c>
      <c r="E43" s="127">
        <f>E38/E39</f>
        <v>1.8895516861292205E-2</v>
      </c>
      <c r="G43" s="96" t="s">
        <v>408</v>
      </c>
      <c r="H43" s="93"/>
      <c r="I43" s="93"/>
      <c r="J43" s="96"/>
      <c r="K43" s="93"/>
    </row>
    <row r="44" spans="2:12" x14ac:dyDescent="0.3">
      <c r="G44" t="s">
        <v>238</v>
      </c>
      <c r="K44" s="135">
        <f>D31</f>
        <v>5.8312319884726217E-2</v>
      </c>
      <c r="L44" s="249" t="s">
        <v>538</v>
      </c>
    </row>
    <row r="45" spans="2:12" x14ac:dyDescent="0.3">
      <c r="B45" s="249" t="s">
        <v>235</v>
      </c>
      <c r="G45" t="s">
        <v>442</v>
      </c>
      <c r="K45" s="124">
        <f>E38</f>
        <v>1.854509765584194E-2</v>
      </c>
      <c r="L45" s="249" t="s">
        <v>539</v>
      </c>
    </row>
    <row r="46" spans="2:12" x14ac:dyDescent="0.3">
      <c r="B46" s="249" t="s">
        <v>236</v>
      </c>
      <c r="G46" t="s">
        <v>240</v>
      </c>
      <c r="K46" s="28">
        <f>K32</f>
        <v>0.12227799370260581</v>
      </c>
      <c r="L46" s="249" t="s">
        <v>540</v>
      </c>
    </row>
    <row r="47" spans="2:12" x14ac:dyDescent="0.3">
      <c r="B47" s="250" t="s">
        <v>384</v>
      </c>
      <c r="C47" s="137"/>
      <c r="D47" s="137"/>
      <c r="G47" t="s">
        <v>443</v>
      </c>
      <c r="K47" s="124">
        <f>E39</f>
        <v>0.98145490234415833</v>
      </c>
      <c r="L47" s="249" t="s">
        <v>541</v>
      </c>
    </row>
    <row r="48" spans="2:12" x14ac:dyDescent="0.3">
      <c r="B48" s="251" t="s">
        <v>385</v>
      </c>
      <c r="C48" s="138"/>
      <c r="D48" s="138"/>
      <c r="G48" s="155" t="s">
        <v>444</v>
      </c>
      <c r="H48" s="155"/>
      <c r="I48" s="155"/>
      <c r="J48" s="155"/>
      <c r="K48" s="287">
        <f>(K44*K45)+(K46*K47)</f>
        <v>0.12109174403503153</v>
      </c>
      <c r="L48" s="249" t="s">
        <v>542</v>
      </c>
    </row>
    <row r="49" spans="2:4" x14ac:dyDescent="0.3">
      <c r="B49" s="251" t="s">
        <v>386</v>
      </c>
      <c r="C49" s="138"/>
      <c r="D49" s="138"/>
    </row>
    <row r="50" spans="2:4" x14ac:dyDescent="0.3">
      <c r="B50" s="251" t="s">
        <v>387</v>
      </c>
      <c r="C50" s="138"/>
      <c r="D50" s="138"/>
    </row>
    <row r="51" spans="2:4" x14ac:dyDescent="0.3">
      <c r="B51" s="249"/>
    </row>
  </sheetData>
  <pageMargins left="0.7" right="0.7" top="0.75" bottom="0.75" header="0.3" footer="0.3"/>
  <pageSetup paperSize="15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CF587-390B-4FC2-A0A6-65CFA642A5D4}">
  <sheetPr>
    <tabColor theme="5" tint="0.39997558519241921"/>
  </sheetPr>
  <dimension ref="A1:K93"/>
  <sheetViews>
    <sheetView zoomScale="120" zoomScaleNormal="120" zoomScalePageLayoutView="120" workbookViewId="0">
      <pane xSplit="1" ySplit="1" topLeftCell="B2" activePane="bottomRight" state="frozen"/>
      <selection activeCell="Z26" sqref="Z26"/>
      <selection pane="topRight" activeCell="Z26" sqref="Z26"/>
      <selection pane="bottomLeft" activeCell="Z26" sqref="Z26"/>
      <selection pane="bottomRight" activeCell="B8" sqref="B8"/>
    </sheetView>
  </sheetViews>
  <sheetFormatPr defaultColWidth="8.77734375" defaultRowHeight="14.4" x14ac:dyDescent="0.3"/>
  <cols>
    <col min="1" max="1" width="27.6640625" style="2" bestFit="1" customWidth="1"/>
    <col min="2" max="11" width="13.44140625" style="2" bestFit="1" customWidth="1"/>
    <col min="12" max="16384" width="8.77734375" style="2"/>
  </cols>
  <sheetData>
    <row r="1" spans="1:11" s="1" customFormat="1" x14ac:dyDescent="0.3">
      <c r="A1" s="1" t="s">
        <v>0</v>
      </c>
      <c r="B1" s="1" t="s">
        <v>1</v>
      </c>
      <c r="E1" s="356" t="str">
        <f>IF(B2&lt;&gt;B3, "A NEW VERSION OF THE WORKSHEET IS AVAILABLE", "")</f>
        <v/>
      </c>
      <c r="F1" s="356"/>
      <c r="G1" s="356"/>
      <c r="H1" s="356"/>
      <c r="I1" s="356"/>
      <c r="J1" s="356"/>
      <c r="K1" s="356"/>
    </row>
    <row r="2" spans="1:11" x14ac:dyDescent="0.3">
      <c r="A2" s="1" t="s">
        <v>2</v>
      </c>
      <c r="B2" s="2">
        <v>2.1</v>
      </c>
      <c r="E2" s="357" t="s">
        <v>3</v>
      </c>
      <c r="F2" s="357"/>
      <c r="G2" s="357"/>
      <c r="H2" s="357"/>
      <c r="I2" s="357"/>
      <c r="J2" s="357"/>
      <c r="K2" s="357"/>
    </row>
    <row r="3" spans="1:11" x14ac:dyDescent="0.3">
      <c r="A3" s="1" t="s">
        <v>4</v>
      </c>
      <c r="B3" s="2">
        <v>2.1</v>
      </c>
    </row>
    <row r="4" spans="1:11" x14ac:dyDescent="0.3">
      <c r="A4" s="1"/>
    </row>
    <row r="5" spans="1:11" x14ac:dyDescent="0.3">
      <c r="A5" s="1" t="s">
        <v>5</v>
      </c>
    </row>
    <row r="6" spans="1:11" x14ac:dyDescent="0.3">
      <c r="A6" s="2" t="s">
        <v>6</v>
      </c>
      <c r="B6" s="2">
        <f>IF(B9&gt;0, B9/B8, 0)</f>
        <v>192.83146202980839</v>
      </c>
    </row>
    <row r="7" spans="1:11" x14ac:dyDescent="0.3">
      <c r="A7" s="2" t="s">
        <v>7</v>
      </c>
      <c r="B7">
        <v>1</v>
      </c>
    </row>
    <row r="8" spans="1:11" x14ac:dyDescent="0.3">
      <c r="A8" s="2" t="s">
        <v>8</v>
      </c>
      <c r="B8">
        <v>1409</v>
      </c>
    </row>
    <row r="9" spans="1:11" x14ac:dyDescent="0.3">
      <c r="A9" s="2" t="s">
        <v>9</v>
      </c>
      <c r="B9">
        <v>271699.53000000003</v>
      </c>
    </row>
    <row r="15" spans="1:11" x14ac:dyDescent="0.3">
      <c r="A15" s="1" t="s">
        <v>10</v>
      </c>
    </row>
    <row r="16" spans="1:11" s="5" customFormat="1" x14ac:dyDescent="0.3">
      <c r="A16" s="3" t="s">
        <v>11</v>
      </c>
      <c r="B16" s="4">
        <v>43100</v>
      </c>
      <c r="C16" s="4">
        <v>43465</v>
      </c>
      <c r="D16" s="4">
        <v>43830</v>
      </c>
      <c r="E16" s="4">
        <v>44196</v>
      </c>
      <c r="F16" s="4">
        <v>44561</v>
      </c>
      <c r="G16" s="4">
        <v>44926</v>
      </c>
      <c r="H16" s="4">
        <v>45291</v>
      </c>
      <c r="I16" s="4">
        <v>45382</v>
      </c>
      <c r="J16" s="4">
        <v>45747</v>
      </c>
      <c r="K16" s="4">
        <v>46112</v>
      </c>
    </row>
    <row r="17" spans="1:11" s="6" customFormat="1" x14ac:dyDescent="0.3">
      <c r="A17" s="1" t="s">
        <v>12</v>
      </c>
      <c r="B17">
        <v>10009.6</v>
      </c>
      <c r="C17">
        <v>11292.27</v>
      </c>
      <c r="D17">
        <v>12368.9</v>
      </c>
      <c r="E17">
        <v>13350.03</v>
      </c>
      <c r="F17">
        <v>14740.59</v>
      </c>
      <c r="G17">
        <v>16896.96</v>
      </c>
      <c r="H17">
        <v>19126.3</v>
      </c>
      <c r="I17">
        <v>24393.89</v>
      </c>
      <c r="J17">
        <v>20201.560000000001</v>
      </c>
      <c r="K17">
        <v>23154.6</v>
      </c>
    </row>
    <row r="18" spans="1:11" s="6" customFormat="1" x14ac:dyDescent="0.3">
      <c r="A18" s="1" t="s">
        <v>13</v>
      </c>
      <c r="B18">
        <v>3696.99</v>
      </c>
      <c r="C18">
        <v>3829.22</v>
      </c>
      <c r="D18">
        <v>4520.91</v>
      </c>
      <c r="E18">
        <v>4901.74</v>
      </c>
      <c r="F18">
        <v>5301.26</v>
      </c>
      <c r="G18">
        <v>6660.42</v>
      </c>
      <c r="H18">
        <v>8472.7199999999993</v>
      </c>
      <c r="I18">
        <v>9201.11</v>
      </c>
      <c r="J18">
        <v>7646.63</v>
      </c>
      <c r="K18">
        <v>9113.9599999999991</v>
      </c>
    </row>
    <row r="19" spans="1:11" s="6" customFormat="1" x14ac:dyDescent="0.3">
      <c r="A19" s="1" t="s">
        <v>14</v>
      </c>
      <c r="B19">
        <v>79.56</v>
      </c>
      <c r="C19">
        <v>6.01</v>
      </c>
      <c r="D19">
        <v>144.19</v>
      </c>
      <c r="E19">
        <v>69.33</v>
      </c>
      <c r="F19">
        <v>67.59</v>
      </c>
      <c r="G19">
        <v>250.27</v>
      </c>
      <c r="H19">
        <v>40.01</v>
      </c>
      <c r="I19">
        <v>45.68</v>
      </c>
      <c r="J19">
        <v>139.66</v>
      </c>
      <c r="K19">
        <v>168.23</v>
      </c>
    </row>
    <row r="20" spans="1:11" s="6" customFormat="1" x14ac:dyDescent="0.3">
      <c r="A20" s="1" t="s">
        <v>15</v>
      </c>
      <c r="B20">
        <v>288.44</v>
      </c>
      <c r="C20">
        <v>344.18</v>
      </c>
      <c r="D20">
        <v>340.53</v>
      </c>
      <c r="E20">
        <v>313.68</v>
      </c>
      <c r="F20">
        <v>408.06</v>
      </c>
      <c r="G20">
        <v>572.61</v>
      </c>
      <c r="I20">
        <v>674.83</v>
      </c>
      <c r="J20">
        <v>541.41999999999996</v>
      </c>
      <c r="K20">
        <v>587.21</v>
      </c>
    </row>
    <row r="21" spans="1:11" s="6" customFormat="1" x14ac:dyDescent="0.3">
      <c r="A21" s="1" t="s">
        <v>16</v>
      </c>
      <c r="B21">
        <v>897.84</v>
      </c>
      <c r="C21">
        <v>949.86</v>
      </c>
      <c r="D21">
        <v>1028.55</v>
      </c>
      <c r="E21">
        <v>1040.3599999999999</v>
      </c>
      <c r="F21">
        <v>1349.48</v>
      </c>
      <c r="G21">
        <v>1603.48</v>
      </c>
      <c r="I21">
        <v>1935.4</v>
      </c>
      <c r="J21">
        <v>1582.45</v>
      </c>
      <c r="K21">
        <v>1816.29</v>
      </c>
    </row>
    <row r="22" spans="1:11" s="6" customFormat="1" x14ac:dyDescent="0.3">
      <c r="A22" s="1" t="s">
        <v>17</v>
      </c>
      <c r="B22">
        <v>1017.45</v>
      </c>
      <c r="C22">
        <v>1124.1500000000001</v>
      </c>
      <c r="D22">
        <v>1258.17</v>
      </c>
      <c r="E22">
        <v>1500.95</v>
      </c>
      <c r="F22">
        <v>1529.94</v>
      </c>
      <c r="G22">
        <v>1635.46</v>
      </c>
      <c r="H22">
        <v>1849.18</v>
      </c>
      <c r="I22">
        <v>2336.06</v>
      </c>
      <c r="J22">
        <v>2062.02</v>
      </c>
      <c r="K22">
        <v>2278.41</v>
      </c>
    </row>
    <row r="23" spans="1:11" s="6" customFormat="1" x14ac:dyDescent="0.3">
      <c r="A23" s="1" t="s">
        <v>18</v>
      </c>
      <c r="B23">
        <v>1823.98</v>
      </c>
      <c r="C23">
        <v>2145.8200000000002</v>
      </c>
      <c r="D23">
        <v>2226.13</v>
      </c>
      <c r="E23">
        <v>2246.9</v>
      </c>
      <c r="F23">
        <v>2902.12</v>
      </c>
      <c r="G23">
        <v>3192.15</v>
      </c>
      <c r="I23">
        <v>4837.58</v>
      </c>
      <c r="J23">
        <v>4126.54</v>
      </c>
      <c r="K23">
        <v>4780.8999999999996</v>
      </c>
    </row>
    <row r="24" spans="1:11" s="6" customFormat="1" x14ac:dyDescent="0.3">
      <c r="A24" s="2" t="s">
        <v>19</v>
      </c>
      <c r="B24">
        <v>267.93</v>
      </c>
      <c r="C24">
        <v>287.39999999999998</v>
      </c>
      <c r="D24">
        <v>212.92</v>
      </c>
      <c r="E24">
        <v>214.23</v>
      </c>
      <c r="F24">
        <v>-245.08</v>
      </c>
      <c r="G24">
        <v>-223.18</v>
      </c>
      <c r="H24">
        <v>4373.42</v>
      </c>
      <c r="I24">
        <v>-388.53</v>
      </c>
      <c r="J24">
        <v>-389.17</v>
      </c>
      <c r="K24">
        <v>-560.9</v>
      </c>
    </row>
    <row r="25" spans="1:11" s="6" customFormat="1" x14ac:dyDescent="0.3">
      <c r="A25" s="6" t="s">
        <v>20</v>
      </c>
      <c r="B25">
        <v>176.92</v>
      </c>
      <c r="C25">
        <v>258.92</v>
      </c>
      <c r="D25">
        <v>246.88</v>
      </c>
      <c r="E25">
        <v>145.85</v>
      </c>
      <c r="F25">
        <v>-112.38</v>
      </c>
      <c r="G25">
        <v>107.26</v>
      </c>
      <c r="H25">
        <v>115.5</v>
      </c>
      <c r="I25">
        <v>158.99</v>
      </c>
      <c r="J25">
        <v>352.06</v>
      </c>
      <c r="K25">
        <v>160.22999999999999</v>
      </c>
    </row>
    <row r="26" spans="1:11" s="6" customFormat="1" x14ac:dyDescent="0.3">
      <c r="A26" s="6" t="s">
        <v>21</v>
      </c>
      <c r="B26">
        <v>342.25</v>
      </c>
      <c r="C26">
        <v>335.67</v>
      </c>
      <c r="D26">
        <v>370.15</v>
      </c>
      <c r="E26">
        <v>370.38</v>
      </c>
      <c r="F26">
        <v>391.02</v>
      </c>
      <c r="G26">
        <v>403.01</v>
      </c>
      <c r="H26">
        <v>428.91</v>
      </c>
      <c r="I26">
        <v>567.75</v>
      </c>
      <c r="J26">
        <v>539.91999999999996</v>
      </c>
      <c r="K26">
        <v>699.23</v>
      </c>
    </row>
    <row r="27" spans="1:11" s="6" customFormat="1" x14ac:dyDescent="0.3">
      <c r="A27" s="1" t="s">
        <v>22</v>
      </c>
      <c r="B27">
        <v>91.9</v>
      </c>
      <c r="C27">
        <v>111.95</v>
      </c>
      <c r="D27">
        <v>129.12</v>
      </c>
      <c r="E27">
        <v>164.18</v>
      </c>
      <c r="F27">
        <v>201.68</v>
      </c>
      <c r="G27">
        <v>154.57</v>
      </c>
      <c r="H27">
        <v>119.29</v>
      </c>
      <c r="I27">
        <v>145.49</v>
      </c>
      <c r="J27">
        <v>136</v>
      </c>
      <c r="K27">
        <v>158.31</v>
      </c>
    </row>
    <row r="28" spans="1:11" s="6" customFormat="1" x14ac:dyDescent="0.3">
      <c r="A28" s="6" t="s">
        <v>23</v>
      </c>
      <c r="B28">
        <v>1839.3</v>
      </c>
      <c r="C28">
        <v>2428.9499999999998</v>
      </c>
      <c r="D28">
        <v>2673.49</v>
      </c>
      <c r="E28">
        <v>2812.79</v>
      </c>
      <c r="F28">
        <v>2857.32</v>
      </c>
      <c r="G28">
        <v>3255.97</v>
      </c>
      <c r="H28">
        <v>4038.29</v>
      </c>
      <c r="I28">
        <v>5288.87</v>
      </c>
      <c r="J28">
        <v>4447.47</v>
      </c>
      <c r="K28">
        <v>4609.6499999999996</v>
      </c>
    </row>
    <row r="29" spans="1:11" s="6" customFormat="1" x14ac:dyDescent="0.3">
      <c r="A29" s="6" t="s">
        <v>24</v>
      </c>
      <c r="B29" s="26">
        <v>614.11</v>
      </c>
      <c r="C29" s="26">
        <v>822.02</v>
      </c>
      <c r="D29" s="26">
        <v>705.05</v>
      </c>
      <c r="E29" s="26">
        <v>730.36</v>
      </c>
      <c r="F29" s="26">
        <v>738.91</v>
      </c>
      <c r="G29" s="26">
        <v>865.45</v>
      </c>
      <c r="H29" s="26">
        <v>1039.6199999999999</v>
      </c>
      <c r="I29" s="26">
        <v>1356.03</v>
      </c>
      <c r="J29" s="26">
        <v>1132.97</v>
      </c>
      <c r="K29" s="26">
        <v>1065.05</v>
      </c>
    </row>
    <row r="30" spans="1:11" s="6" customFormat="1" x14ac:dyDescent="0.3">
      <c r="A30" s="6" t="s">
        <v>25</v>
      </c>
      <c r="B30">
        <v>1225.19</v>
      </c>
      <c r="C30">
        <v>1606.93</v>
      </c>
      <c r="D30">
        <v>1968.44</v>
      </c>
      <c r="E30">
        <v>2082.4299999999998</v>
      </c>
      <c r="F30">
        <v>2118.41</v>
      </c>
      <c r="G30">
        <v>2390.52</v>
      </c>
      <c r="H30">
        <v>2998.67</v>
      </c>
      <c r="I30">
        <v>3932.84</v>
      </c>
      <c r="J30">
        <v>3314.5</v>
      </c>
      <c r="K30">
        <v>3544.6</v>
      </c>
    </row>
    <row r="31" spans="1:11" s="6" customFormat="1" x14ac:dyDescent="0.3">
      <c r="A31" s="6" t="s">
        <v>26</v>
      </c>
      <c r="B31">
        <v>829.21</v>
      </c>
      <c r="C31">
        <v>1108.83</v>
      </c>
      <c r="D31">
        <v>3297.56</v>
      </c>
      <c r="E31">
        <v>1928.4</v>
      </c>
      <c r="F31">
        <v>1928.4</v>
      </c>
      <c r="G31">
        <v>2121.2399999999998</v>
      </c>
      <c r="H31">
        <v>1677.71</v>
      </c>
      <c r="I31">
        <v>3104.72</v>
      </c>
      <c r="J31">
        <v>2603.34</v>
      </c>
      <c r="K31">
        <v>2313.96</v>
      </c>
    </row>
    <row r="32" spans="1:11" s="6" customFormat="1" x14ac:dyDescent="0.3"/>
    <row r="33" spans="1:11" x14ac:dyDescent="0.3">
      <c r="A33" s="6"/>
    </row>
    <row r="34" spans="1:11" x14ac:dyDescent="0.3">
      <c r="A34" s="6"/>
    </row>
    <row r="35" spans="1:11" x14ac:dyDescent="0.3">
      <c r="A35" s="6"/>
    </row>
    <row r="36" spans="1:11" x14ac:dyDescent="0.3">
      <c r="A36" s="6"/>
    </row>
    <row r="37" spans="1:11" x14ac:dyDescent="0.3">
      <c r="A37" s="6"/>
    </row>
    <row r="38" spans="1:11" x14ac:dyDescent="0.3">
      <c r="A38" s="6"/>
    </row>
    <row r="39" spans="1:11" x14ac:dyDescent="0.3">
      <c r="A39" s="6"/>
    </row>
    <row r="40" spans="1:11" x14ac:dyDescent="0.3">
      <c r="A40" s="1" t="s">
        <v>27</v>
      </c>
    </row>
    <row r="41" spans="1:11" s="5" customFormat="1" x14ac:dyDescent="0.3">
      <c r="A41" s="3" t="s">
        <v>11</v>
      </c>
      <c r="B41" s="4">
        <v>45291</v>
      </c>
      <c r="C41" s="4">
        <v>45382</v>
      </c>
      <c r="D41" s="4">
        <v>45473</v>
      </c>
      <c r="E41" s="4">
        <v>45565</v>
      </c>
      <c r="F41" s="4">
        <v>45657</v>
      </c>
      <c r="G41" s="4">
        <v>45747</v>
      </c>
      <c r="H41" s="4">
        <v>45838</v>
      </c>
      <c r="I41" s="4">
        <v>45930</v>
      </c>
      <c r="J41" s="4">
        <v>46022</v>
      </c>
      <c r="K41" s="4">
        <v>46112</v>
      </c>
    </row>
    <row r="42" spans="1:11" s="6" customFormat="1" x14ac:dyDescent="0.3">
      <c r="A42" s="6" t="s">
        <v>12</v>
      </c>
      <c r="B42">
        <v>4600.42</v>
      </c>
      <c r="C42">
        <v>5267.59</v>
      </c>
      <c r="D42">
        <v>4813.95</v>
      </c>
      <c r="E42">
        <v>5104</v>
      </c>
      <c r="F42">
        <v>4779.7299999999996</v>
      </c>
      <c r="G42">
        <v>5503.88</v>
      </c>
      <c r="H42">
        <v>5096.16</v>
      </c>
      <c r="I42">
        <v>5643.61</v>
      </c>
      <c r="J42">
        <v>5667.04</v>
      </c>
      <c r="K42">
        <v>6747.79</v>
      </c>
    </row>
    <row r="43" spans="1:11" s="6" customFormat="1" x14ac:dyDescent="0.3">
      <c r="A43" s="6" t="s">
        <v>28</v>
      </c>
      <c r="B43">
        <v>3505.3</v>
      </c>
      <c r="C43">
        <v>3917.54</v>
      </c>
      <c r="D43">
        <v>3699.62</v>
      </c>
      <c r="E43">
        <v>3936.27</v>
      </c>
      <c r="F43">
        <v>3677.04</v>
      </c>
      <c r="G43">
        <v>4115.58</v>
      </c>
      <c r="H43">
        <v>3995.9</v>
      </c>
      <c r="I43">
        <v>4406.97</v>
      </c>
      <c r="J43">
        <v>4466.09</v>
      </c>
      <c r="K43">
        <v>4976.1899999999996</v>
      </c>
    </row>
    <row r="44" spans="1:11" s="6" customFormat="1" x14ac:dyDescent="0.3">
      <c r="A44" s="6" t="s">
        <v>20</v>
      </c>
      <c r="B44">
        <v>-77</v>
      </c>
      <c r="C44">
        <v>36.83</v>
      </c>
      <c r="D44">
        <v>39.119999999999997</v>
      </c>
      <c r="E44">
        <v>297.68</v>
      </c>
      <c r="F44">
        <v>4.4400000000000004</v>
      </c>
      <c r="G44">
        <v>9.1</v>
      </c>
      <c r="H44">
        <v>4.04</v>
      </c>
      <c r="I44">
        <v>1.64</v>
      </c>
      <c r="J44">
        <v>169.78</v>
      </c>
      <c r="K44">
        <v>-17.72</v>
      </c>
    </row>
    <row r="45" spans="1:11" s="6" customFormat="1" x14ac:dyDescent="0.3">
      <c r="A45" s="6" t="s">
        <v>21</v>
      </c>
      <c r="B45">
        <v>108.69</v>
      </c>
      <c r="C45">
        <v>110.1</v>
      </c>
      <c r="D45">
        <v>112.71</v>
      </c>
      <c r="E45">
        <v>121.6</v>
      </c>
      <c r="F45">
        <v>150.27000000000001</v>
      </c>
      <c r="G45">
        <v>155.34</v>
      </c>
      <c r="H45">
        <v>156.94</v>
      </c>
      <c r="I45">
        <v>163.35</v>
      </c>
      <c r="J45">
        <v>174.41</v>
      </c>
      <c r="K45">
        <v>204.53</v>
      </c>
    </row>
    <row r="46" spans="1:11" s="6" customFormat="1" x14ac:dyDescent="0.3">
      <c r="A46" s="6" t="s">
        <v>22</v>
      </c>
      <c r="B46">
        <v>22.95</v>
      </c>
      <c r="C46">
        <v>26.2</v>
      </c>
      <c r="D46">
        <v>31.68</v>
      </c>
      <c r="E46">
        <v>32.22</v>
      </c>
      <c r="F46">
        <v>34.6</v>
      </c>
      <c r="G46">
        <v>37.5</v>
      </c>
      <c r="H46">
        <v>46.89</v>
      </c>
      <c r="I46">
        <v>46.41</v>
      </c>
      <c r="J46">
        <v>28.25</v>
      </c>
      <c r="K46">
        <v>36.76</v>
      </c>
    </row>
    <row r="47" spans="1:11" s="6" customFormat="1" x14ac:dyDescent="0.3">
      <c r="A47" s="6" t="s">
        <v>23</v>
      </c>
      <c r="B47">
        <v>886.48</v>
      </c>
      <c r="C47">
        <v>1250.58</v>
      </c>
      <c r="D47">
        <v>1009.06</v>
      </c>
      <c r="E47">
        <v>1311.59</v>
      </c>
      <c r="F47">
        <v>922.26</v>
      </c>
      <c r="G47">
        <v>1204.56</v>
      </c>
      <c r="H47">
        <v>900.47</v>
      </c>
      <c r="I47">
        <v>1028.52</v>
      </c>
      <c r="J47">
        <v>1168.07</v>
      </c>
      <c r="K47">
        <v>1512.59</v>
      </c>
    </row>
    <row r="48" spans="1:11" s="6" customFormat="1" x14ac:dyDescent="0.3">
      <c r="A48" s="6" t="s">
        <v>24</v>
      </c>
      <c r="B48">
        <v>230.87</v>
      </c>
      <c r="C48">
        <v>316.41000000000003</v>
      </c>
      <c r="D48">
        <v>262.45999999999998</v>
      </c>
      <c r="E48">
        <v>325.23</v>
      </c>
      <c r="F48">
        <v>226.13</v>
      </c>
      <c r="G48">
        <v>319.14999999999998</v>
      </c>
      <c r="H48">
        <v>241.24</v>
      </c>
      <c r="I48">
        <v>275.32</v>
      </c>
      <c r="J48">
        <v>150.01</v>
      </c>
      <c r="K48">
        <v>398.48</v>
      </c>
    </row>
    <row r="49" spans="1:11" s="6" customFormat="1" x14ac:dyDescent="0.3">
      <c r="A49" s="6" t="s">
        <v>25</v>
      </c>
      <c r="B49">
        <v>655.61</v>
      </c>
      <c r="C49">
        <v>934.17</v>
      </c>
      <c r="D49">
        <v>746.6</v>
      </c>
      <c r="E49">
        <v>986.36</v>
      </c>
      <c r="F49">
        <v>696.13</v>
      </c>
      <c r="G49">
        <v>885.41</v>
      </c>
      <c r="H49">
        <v>659.23</v>
      </c>
      <c r="I49">
        <v>753.2</v>
      </c>
      <c r="J49">
        <v>1018.06</v>
      </c>
      <c r="K49">
        <v>1114.1099999999999</v>
      </c>
    </row>
    <row r="50" spans="1:11" x14ac:dyDescent="0.3">
      <c r="A50" s="6" t="s">
        <v>29</v>
      </c>
      <c r="B50">
        <v>1095.1199999999999</v>
      </c>
      <c r="C50">
        <v>1350.05</v>
      </c>
      <c r="D50">
        <v>1114.33</v>
      </c>
      <c r="E50">
        <v>1167.73</v>
      </c>
      <c r="F50">
        <v>1102.69</v>
      </c>
      <c r="G50">
        <v>1388.3</v>
      </c>
      <c r="H50">
        <v>1100.26</v>
      </c>
      <c r="I50">
        <v>1236.6400000000001</v>
      </c>
      <c r="J50">
        <v>1200.95</v>
      </c>
      <c r="K50">
        <v>1771.6</v>
      </c>
    </row>
    <row r="51" spans="1:11" x14ac:dyDescent="0.3">
      <c r="A51" s="6"/>
    </row>
    <row r="52" spans="1:11" x14ac:dyDescent="0.3">
      <c r="A52" s="6"/>
    </row>
    <row r="53" spans="1:11" x14ac:dyDescent="0.3">
      <c r="A53" s="6"/>
    </row>
    <row r="54" spans="1:11" x14ac:dyDescent="0.3">
      <c r="A54" s="6"/>
    </row>
    <row r="55" spans="1:11" x14ac:dyDescent="0.3">
      <c r="A55" s="1" t="s">
        <v>30</v>
      </c>
    </row>
    <row r="56" spans="1:11" s="5" customFormat="1" x14ac:dyDescent="0.3">
      <c r="A56" s="3" t="s">
        <v>11</v>
      </c>
      <c r="B56" s="4">
        <v>43100</v>
      </c>
      <c r="C56" s="4">
        <v>43465</v>
      </c>
      <c r="D56" s="4">
        <v>43830</v>
      </c>
      <c r="E56" s="4">
        <v>44196</v>
      </c>
      <c r="F56" s="4">
        <v>44561</v>
      </c>
      <c r="G56" s="4">
        <v>44926</v>
      </c>
      <c r="H56" s="4">
        <v>45291</v>
      </c>
      <c r="I56" s="4">
        <v>45382</v>
      </c>
      <c r="J56" s="4">
        <v>45747</v>
      </c>
      <c r="K56" s="4">
        <v>46112</v>
      </c>
    </row>
    <row r="57" spans="1:11" x14ac:dyDescent="0.3">
      <c r="A57" s="6" t="s">
        <v>31</v>
      </c>
      <c r="B57">
        <v>96.42</v>
      </c>
      <c r="C57">
        <v>96.42</v>
      </c>
      <c r="D57">
        <v>96.42</v>
      </c>
      <c r="E57">
        <v>96.42</v>
      </c>
      <c r="F57">
        <v>96.42</v>
      </c>
      <c r="G57">
        <v>96.42</v>
      </c>
      <c r="H57">
        <v>96.42</v>
      </c>
      <c r="I57">
        <v>96.42</v>
      </c>
      <c r="J57">
        <v>96.42</v>
      </c>
      <c r="K57">
        <v>192.83</v>
      </c>
    </row>
    <row r="58" spans="1:11" x14ac:dyDescent="0.3">
      <c r="A58" s="6" t="s">
        <v>32</v>
      </c>
      <c r="B58">
        <v>3324.17</v>
      </c>
      <c r="C58">
        <v>3577.32</v>
      </c>
      <c r="D58">
        <v>1822.45</v>
      </c>
      <c r="E58">
        <v>1922.92</v>
      </c>
      <c r="F58">
        <v>1849.96</v>
      </c>
      <c r="G58">
        <v>2362.75</v>
      </c>
      <c r="H58">
        <v>2362.75</v>
      </c>
      <c r="I58">
        <v>3244.47</v>
      </c>
      <c r="J58">
        <v>4020.73</v>
      </c>
      <c r="K58">
        <v>5116.41</v>
      </c>
    </row>
    <row r="59" spans="1:11" x14ac:dyDescent="0.3">
      <c r="A59" s="6" t="s">
        <v>33</v>
      </c>
      <c r="B59">
        <v>35.14</v>
      </c>
      <c r="C59">
        <v>35.14</v>
      </c>
      <c r="D59">
        <v>188.94</v>
      </c>
      <c r="E59">
        <v>147.49</v>
      </c>
      <c r="F59">
        <v>266.45999999999998</v>
      </c>
      <c r="G59">
        <v>270.52</v>
      </c>
      <c r="H59">
        <v>270.52</v>
      </c>
      <c r="I59">
        <v>344.53</v>
      </c>
      <c r="J59">
        <v>1166.8499999999999</v>
      </c>
      <c r="K59">
        <v>444.16</v>
      </c>
    </row>
    <row r="60" spans="1:11" x14ac:dyDescent="0.3">
      <c r="A60" s="6" t="s">
        <v>34</v>
      </c>
      <c r="B60">
        <v>3906.86</v>
      </c>
      <c r="C60">
        <v>4379.2</v>
      </c>
      <c r="D60">
        <v>5065.13</v>
      </c>
      <c r="E60">
        <v>5732.9</v>
      </c>
      <c r="F60">
        <v>6021.29</v>
      </c>
      <c r="G60">
        <v>6249.05</v>
      </c>
      <c r="H60">
        <v>6249.05</v>
      </c>
      <c r="I60">
        <v>6837.64</v>
      </c>
      <c r="J60">
        <v>7039.89</v>
      </c>
      <c r="K60">
        <v>7603.77</v>
      </c>
    </row>
    <row r="61" spans="1:11" s="1" customFormat="1" x14ac:dyDescent="0.3">
      <c r="A61" s="1" t="s">
        <v>35</v>
      </c>
      <c r="B61">
        <v>7362.59</v>
      </c>
      <c r="C61">
        <v>8088.08</v>
      </c>
      <c r="D61">
        <v>7172.94</v>
      </c>
      <c r="E61">
        <v>7899.73</v>
      </c>
      <c r="F61">
        <v>8234.1299999999992</v>
      </c>
      <c r="G61">
        <v>8978.74</v>
      </c>
      <c r="H61">
        <v>8978.74</v>
      </c>
      <c r="I61">
        <v>10523.06</v>
      </c>
      <c r="J61">
        <v>12323.89</v>
      </c>
      <c r="K61">
        <v>13357.17</v>
      </c>
    </row>
    <row r="62" spans="1:11" x14ac:dyDescent="0.3">
      <c r="A62" s="6" t="s">
        <v>36</v>
      </c>
      <c r="B62">
        <v>2616.1799999999998</v>
      </c>
      <c r="C62">
        <v>2400.62</v>
      </c>
      <c r="D62">
        <v>2341.4499999999998</v>
      </c>
      <c r="E62">
        <v>2179.41</v>
      </c>
      <c r="F62">
        <v>2994.67</v>
      </c>
      <c r="G62">
        <v>3043.7</v>
      </c>
      <c r="H62">
        <v>3043.7</v>
      </c>
      <c r="I62">
        <v>3460.25</v>
      </c>
      <c r="J62">
        <v>5473.61</v>
      </c>
      <c r="K62">
        <v>6290.42</v>
      </c>
    </row>
    <row r="63" spans="1:11" x14ac:dyDescent="0.3">
      <c r="A63" s="6" t="s">
        <v>37</v>
      </c>
      <c r="B63">
        <v>94.16</v>
      </c>
      <c r="C63">
        <v>105.2</v>
      </c>
      <c r="D63">
        <v>143.30000000000001</v>
      </c>
      <c r="E63">
        <v>638.58000000000004</v>
      </c>
      <c r="F63">
        <v>246.23</v>
      </c>
      <c r="G63">
        <v>358.36</v>
      </c>
      <c r="H63">
        <v>358.36</v>
      </c>
      <c r="I63">
        <v>1741.71</v>
      </c>
      <c r="J63">
        <v>1172.56</v>
      </c>
      <c r="K63">
        <v>506.98</v>
      </c>
    </row>
    <row r="64" spans="1:11" x14ac:dyDescent="0.3">
      <c r="A64" s="6" t="s">
        <v>38</v>
      </c>
      <c r="B64">
        <v>1978.87</v>
      </c>
      <c r="C64">
        <v>2658.49</v>
      </c>
      <c r="D64">
        <v>1751.05</v>
      </c>
      <c r="E64">
        <v>1463.77</v>
      </c>
      <c r="F64">
        <v>773.98</v>
      </c>
      <c r="G64">
        <v>777.54</v>
      </c>
      <c r="H64">
        <v>777.54</v>
      </c>
      <c r="I64">
        <v>463.87</v>
      </c>
      <c r="J64">
        <v>705.6</v>
      </c>
      <c r="K64">
        <v>705.6</v>
      </c>
    </row>
    <row r="65" spans="1:11" x14ac:dyDescent="0.3">
      <c r="A65" s="6" t="s">
        <v>39</v>
      </c>
      <c r="B65">
        <v>2673.38</v>
      </c>
      <c r="C65">
        <v>2923.77</v>
      </c>
      <c r="D65">
        <v>2937.14</v>
      </c>
      <c r="E65">
        <v>3617.97</v>
      </c>
      <c r="F65">
        <v>4219.25</v>
      </c>
      <c r="G65">
        <v>4799.1400000000003</v>
      </c>
      <c r="H65">
        <v>4799.1400000000003</v>
      </c>
      <c r="I65">
        <v>4857.2299999999996</v>
      </c>
      <c r="J65">
        <v>4972.12</v>
      </c>
      <c r="K65">
        <v>5854.17</v>
      </c>
    </row>
    <row r="66" spans="1:11" s="1" customFormat="1" x14ac:dyDescent="0.3">
      <c r="A66" s="1" t="s">
        <v>35</v>
      </c>
      <c r="B66">
        <v>7362.59</v>
      </c>
      <c r="C66">
        <v>8088.08</v>
      </c>
      <c r="D66">
        <v>7172.94</v>
      </c>
      <c r="E66">
        <v>7899.73</v>
      </c>
      <c r="F66">
        <v>8234.1299999999992</v>
      </c>
      <c r="G66">
        <v>8978.74</v>
      </c>
      <c r="H66">
        <v>8978.74</v>
      </c>
      <c r="I66">
        <v>10523.06</v>
      </c>
      <c r="J66">
        <v>12323.89</v>
      </c>
      <c r="K66">
        <v>13357.17</v>
      </c>
    </row>
    <row r="67" spans="1:11" s="6" customFormat="1" x14ac:dyDescent="0.3">
      <c r="A67" s="6" t="s">
        <v>40</v>
      </c>
      <c r="B67">
        <v>88.97</v>
      </c>
      <c r="C67">
        <v>124.59</v>
      </c>
      <c r="D67">
        <v>124.33</v>
      </c>
      <c r="E67">
        <v>164.93</v>
      </c>
      <c r="F67">
        <v>165.97</v>
      </c>
      <c r="G67">
        <v>191.89</v>
      </c>
      <c r="H67">
        <v>191.89</v>
      </c>
      <c r="I67">
        <v>300.45999999999998</v>
      </c>
      <c r="J67">
        <v>363.15</v>
      </c>
      <c r="K67">
        <v>329.47</v>
      </c>
    </row>
    <row r="68" spans="1:11" x14ac:dyDescent="0.3">
      <c r="A68" s="6" t="s">
        <v>41</v>
      </c>
      <c r="B68">
        <v>902.47</v>
      </c>
      <c r="C68">
        <v>965.55</v>
      </c>
      <c r="D68">
        <v>1283.07</v>
      </c>
      <c r="E68">
        <v>1416.48</v>
      </c>
      <c r="F68">
        <v>1592.65</v>
      </c>
      <c r="G68">
        <v>1928.77</v>
      </c>
      <c r="H68">
        <v>1928.77</v>
      </c>
      <c r="I68">
        <v>2089.36</v>
      </c>
      <c r="J68">
        <v>2850.14</v>
      </c>
      <c r="K68">
        <v>2569.2199999999998</v>
      </c>
    </row>
    <row r="69" spans="1:11" x14ac:dyDescent="0.3">
      <c r="A69" s="2" t="s">
        <v>42</v>
      </c>
      <c r="B69">
        <v>1457.42</v>
      </c>
      <c r="C69">
        <v>1610.06</v>
      </c>
      <c r="D69">
        <v>1308.05</v>
      </c>
      <c r="E69">
        <v>1769.87</v>
      </c>
      <c r="F69">
        <v>735.41</v>
      </c>
      <c r="G69">
        <v>945.55</v>
      </c>
      <c r="H69">
        <v>945.55</v>
      </c>
      <c r="I69">
        <v>778.85</v>
      </c>
      <c r="J69">
        <v>95.65</v>
      </c>
      <c r="K69">
        <v>1340.87</v>
      </c>
    </row>
    <row r="70" spans="1:11" x14ac:dyDescent="0.3">
      <c r="A70" s="2" t="s">
        <v>43</v>
      </c>
      <c r="B70">
        <v>96415716</v>
      </c>
      <c r="C70">
        <v>96415716</v>
      </c>
      <c r="D70">
        <v>96415716</v>
      </c>
      <c r="E70">
        <v>96415716</v>
      </c>
      <c r="F70">
        <v>96415716</v>
      </c>
      <c r="G70">
        <v>96415716</v>
      </c>
      <c r="I70">
        <v>964157160</v>
      </c>
      <c r="J70">
        <v>964157160</v>
      </c>
      <c r="K70">
        <v>1928314320</v>
      </c>
    </row>
    <row r="71" spans="1:11" x14ac:dyDescent="0.3">
      <c r="A71" s="2" t="s">
        <v>44</v>
      </c>
    </row>
    <row r="72" spans="1:11" x14ac:dyDescent="0.3">
      <c r="A72" s="2" t="s">
        <v>45</v>
      </c>
      <c r="B72">
        <v>10</v>
      </c>
      <c r="C72">
        <v>10</v>
      </c>
      <c r="D72">
        <v>10</v>
      </c>
      <c r="E72">
        <v>10</v>
      </c>
      <c r="F72">
        <v>10</v>
      </c>
      <c r="G72">
        <v>10</v>
      </c>
      <c r="H72">
        <v>10</v>
      </c>
      <c r="I72">
        <v>1</v>
      </c>
      <c r="J72">
        <v>1</v>
      </c>
      <c r="K72">
        <v>1</v>
      </c>
    </row>
    <row r="74" spans="1:11" x14ac:dyDescent="0.3">
      <c r="A74" s="6"/>
    </row>
    <row r="75" spans="1:11" x14ac:dyDescent="0.3">
      <c r="A75" s="6"/>
    </row>
    <row r="76" spans="1:11" x14ac:dyDescent="0.3">
      <c r="A76" s="6"/>
    </row>
    <row r="77" spans="1:11" x14ac:dyDescent="0.3">
      <c r="A77" s="6"/>
    </row>
    <row r="78" spans="1:11" x14ac:dyDescent="0.3">
      <c r="A78" s="6"/>
    </row>
    <row r="79" spans="1:11" x14ac:dyDescent="0.3">
      <c r="A79" s="6"/>
    </row>
    <row r="80" spans="1:11" x14ac:dyDescent="0.3">
      <c r="A80" s="1" t="s">
        <v>46</v>
      </c>
    </row>
    <row r="81" spans="1:11" s="5" customFormat="1" x14ac:dyDescent="0.3">
      <c r="A81" s="3" t="s">
        <v>11</v>
      </c>
      <c r="B81" s="4">
        <v>43100</v>
      </c>
      <c r="C81" s="4">
        <v>43465</v>
      </c>
      <c r="D81" s="4">
        <v>43830</v>
      </c>
      <c r="E81" s="4">
        <v>44196</v>
      </c>
      <c r="F81" s="4">
        <v>44561</v>
      </c>
      <c r="G81" s="4">
        <v>44926</v>
      </c>
      <c r="H81" s="4">
        <v>45291</v>
      </c>
      <c r="I81" s="4">
        <v>45382</v>
      </c>
      <c r="J81" s="4">
        <v>45747</v>
      </c>
      <c r="K81" s="4">
        <v>46112</v>
      </c>
    </row>
    <row r="82" spans="1:11" s="1" customFormat="1" x14ac:dyDescent="0.3">
      <c r="A82" s="6" t="s">
        <v>47</v>
      </c>
      <c r="B82">
        <v>1817.79</v>
      </c>
      <c r="C82">
        <v>2052.4499999999998</v>
      </c>
      <c r="D82">
        <v>2295.25</v>
      </c>
      <c r="E82">
        <v>2454.48</v>
      </c>
      <c r="F82">
        <v>2236</v>
      </c>
      <c r="G82">
        <v>2737.43</v>
      </c>
      <c r="H82">
        <v>3392.19</v>
      </c>
      <c r="I82">
        <v>4174.79</v>
      </c>
      <c r="J82">
        <v>2934.53</v>
      </c>
      <c r="K82">
        <v>5047.5600000000004</v>
      </c>
    </row>
    <row r="83" spans="1:11" s="6" customFormat="1" x14ac:dyDescent="0.3">
      <c r="A83" s="6" t="s">
        <v>48</v>
      </c>
      <c r="B83">
        <v>-130.56</v>
      </c>
      <c r="C83">
        <v>-52.41</v>
      </c>
      <c r="D83">
        <v>82.99</v>
      </c>
      <c r="E83">
        <v>-321.45999999999998</v>
      </c>
      <c r="F83">
        <v>-1920.33</v>
      </c>
      <c r="G83">
        <v>-391.73</v>
      </c>
      <c r="H83">
        <v>-926.99</v>
      </c>
      <c r="I83">
        <v>-1237.42</v>
      </c>
      <c r="J83">
        <v>-1810.9</v>
      </c>
      <c r="K83">
        <v>-623.67999999999995</v>
      </c>
    </row>
    <row r="84" spans="1:11" s="6" customFormat="1" x14ac:dyDescent="0.3">
      <c r="A84" s="6" t="s">
        <v>49</v>
      </c>
      <c r="B84">
        <v>-996.62</v>
      </c>
      <c r="C84">
        <v>-1317.42</v>
      </c>
      <c r="D84">
        <v>-3601.53</v>
      </c>
      <c r="E84">
        <v>-1955.89</v>
      </c>
      <c r="F84">
        <v>-2019.97</v>
      </c>
      <c r="G84">
        <v>-2122.7399999999998</v>
      </c>
      <c r="H84">
        <v>-2436.4699999999998</v>
      </c>
      <c r="I84">
        <v>-3134.92</v>
      </c>
      <c r="J84">
        <v>-1846.3</v>
      </c>
      <c r="K84">
        <v>-3179.49</v>
      </c>
    </row>
    <row r="85" spans="1:11" s="1" customFormat="1" x14ac:dyDescent="0.3">
      <c r="A85" s="6" t="s">
        <v>50</v>
      </c>
      <c r="B85">
        <v>690.61</v>
      </c>
      <c r="C85">
        <v>682.62</v>
      </c>
      <c r="D85">
        <v>-1223.29</v>
      </c>
      <c r="E85">
        <v>177.13</v>
      </c>
      <c r="F85">
        <v>-1704.3</v>
      </c>
      <c r="G85">
        <v>222.96</v>
      </c>
      <c r="H85">
        <v>28.73</v>
      </c>
      <c r="I85">
        <v>-197.55</v>
      </c>
      <c r="J85">
        <v>-722.67</v>
      </c>
      <c r="K85">
        <v>1244.3900000000001</v>
      </c>
    </row>
    <row r="86" spans="1:11" x14ac:dyDescent="0.3">
      <c r="A86" s="6"/>
    </row>
    <row r="87" spans="1:11" x14ac:dyDescent="0.3">
      <c r="A87" s="6"/>
    </row>
    <row r="88" spans="1:11" x14ac:dyDescent="0.3">
      <c r="A88" s="6"/>
    </row>
    <row r="89" spans="1:11" x14ac:dyDescent="0.3">
      <c r="A89" s="6"/>
    </row>
    <row r="90" spans="1:11" s="1" customFormat="1" x14ac:dyDescent="0.3">
      <c r="A90" s="1" t="s">
        <v>51</v>
      </c>
      <c r="B90">
        <v>393.55</v>
      </c>
      <c r="C90">
        <v>554.24</v>
      </c>
      <c r="D90">
        <v>739.27</v>
      </c>
      <c r="E90">
        <v>919.51</v>
      </c>
      <c r="F90">
        <v>985.29</v>
      </c>
      <c r="G90">
        <v>980.3</v>
      </c>
      <c r="H90">
        <v>1329.02</v>
      </c>
      <c r="I90">
        <v>1311.18</v>
      </c>
      <c r="J90">
        <v>1125.3800000000001</v>
      </c>
      <c r="K90">
        <v>1174.8</v>
      </c>
    </row>
    <row r="92" spans="1:11" s="1" customFormat="1" x14ac:dyDescent="0.3">
      <c r="A92" s="1" t="s">
        <v>52</v>
      </c>
    </row>
    <row r="93" spans="1:11" x14ac:dyDescent="0.3">
      <c r="A93" s="2" t="s">
        <v>53</v>
      </c>
      <c r="B93" s="7">
        <v>192.8</v>
      </c>
      <c r="C93" s="7">
        <v>192.8</v>
      </c>
      <c r="D93" s="7">
        <v>192.8</v>
      </c>
      <c r="E93" s="7">
        <v>192.8</v>
      </c>
      <c r="F93" s="7">
        <v>192.8</v>
      </c>
      <c r="G93" s="7">
        <v>192.8</v>
      </c>
      <c r="H93" s="7">
        <v>192.8</v>
      </c>
      <c r="I93" s="7">
        <v>192.83</v>
      </c>
      <c r="J93" s="7">
        <v>192.83</v>
      </c>
      <c r="K93" s="7">
        <v>192.83</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71AD5C91-9645-46B9-935D-4CCB1844CBC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EB73F-FDB6-4A78-89E4-1DB8111CB160}">
  <sheetPr>
    <tabColor rgb="FF002060"/>
    <pageSetUpPr autoPageBreaks="0"/>
  </sheetPr>
  <dimension ref="A1:W123"/>
  <sheetViews>
    <sheetView showGridLines="0" zoomScale="86" zoomScaleNormal="86" workbookViewId="0">
      <pane xSplit="2" ySplit="8" topLeftCell="I64" activePane="bottomRight" state="frozen"/>
      <selection activeCell="Z26" sqref="Z26"/>
      <selection pane="topRight" activeCell="Z26" sqref="Z26"/>
      <selection pane="bottomLeft" activeCell="Z26" sqref="Z26"/>
      <selection pane="bottomRight" activeCell="N15" sqref="N15"/>
    </sheetView>
  </sheetViews>
  <sheetFormatPr defaultRowHeight="14.4" x14ac:dyDescent="0.3"/>
  <cols>
    <col min="1" max="1" width="1.88671875" customWidth="1"/>
    <col min="2" max="2" width="34.77734375" customWidth="1"/>
    <col min="3" max="12" width="15.77734375" customWidth="1"/>
    <col min="15" max="15" width="10.44140625" bestFit="1" customWidth="1"/>
    <col min="19" max="19" width="29.77734375" customWidth="1"/>
    <col min="20" max="20" width="79.6640625" customWidth="1"/>
    <col min="21" max="21" width="18.5546875" customWidth="1"/>
    <col min="22" max="22" width="59.5546875" customWidth="1"/>
    <col min="23" max="23" width="47.44140625" customWidth="1"/>
  </cols>
  <sheetData>
    <row r="1" spans="1:23" ht="6.6" customHeight="1" x14ac:dyDescent="0.3">
      <c r="B1" s="252"/>
      <c r="C1" s="252"/>
      <c r="D1" s="252"/>
      <c r="E1" s="252"/>
      <c r="F1" s="252"/>
      <c r="G1" s="252"/>
      <c r="H1" s="252"/>
      <c r="I1" s="252"/>
      <c r="J1" s="252"/>
      <c r="K1" s="252"/>
      <c r="L1" s="252"/>
    </row>
    <row r="7" spans="1:23" ht="28.8" x14ac:dyDescent="0.55000000000000004">
      <c r="B7" s="358" t="str">
        <f>" Financial Statements  - "&amp;'Data Sheet'!B1</f>
        <v xml:space="preserve"> Financial Statements  - NESTLE INDIA LTD</v>
      </c>
      <c r="C7" s="358"/>
      <c r="D7" s="358"/>
      <c r="E7" s="358"/>
      <c r="F7" s="358"/>
      <c r="G7" s="358"/>
      <c r="H7" s="358"/>
      <c r="I7" s="358"/>
      <c r="J7" s="358"/>
      <c r="K7" s="358"/>
      <c r="L7" s="358"/>
    </row>
    <row r="8" spans="1:23" ht="18" x14ac:dyDescent="0.35">
      <c r="B8" s="13" t="s">
        <v>54</v>
      </c>
      <c r="C8" s="14">
        <f>'Data Sheet'!B16</f>
        <v>43100</v>
      </c>
      <c r="D8" s="14">
        <f>'Data Sheet'!C16</f>
        <v>43465</v>
      </c>
      <c r="E8" s="14">
        <f>'Data Sheet'!D16</f>
        <v>43830</v>
      </c>
      <c r="F8" s="14">
        <f>'Data Sheet'!E16</f>
        <v>44196</v>
      </c>
      <c r="G8" s="14">
        <f>'Data Sheet'!F16</f>
        <v>44561</v>
      </c>
      <c r="H8" s="14">
        <f>'Data Sheet'!G16</f>
        <v>44926</v>
      </c>
      <c r="I8" s="14">
        <f>'Data Sheet'!H16</f>
        <v>45291</v>
      </c>
      <c r="J8" s="14">
        <f>'Data Sheet'!I16</f>
        <v>45382</v>
      </c>
      <c r="K8" s="14">
        <f>'Data Sheet'!J16</f>
        <v>45747</v>
      </c>
      <c r="L8" s="14">
        <f>'Data Sheet'!K16</f>
        <v>46112</v>
      </c>
      <c r="M8" s="8"/>
      <c r="U8" s="10"/>
      <c r="V8" s="10"/>
      <c r="W8" s="10"/>
    </row>
    <row r="9" spans="1:23" ht="18" x14ac:dyDescent="0.35">
      <c r="B9" s="23" t="s">
        <v>77</v>
      </c>
      <c r="C9" s="24"/>
      <c r="D9" s="24"/>
      <c r="E9" s="24"/>
      <c r="F9" s="24"/>
      <c r="G9" s="24"/>
      <c r="H9" s="24"/>
      <c r="I9" s="24"/>
      <c r="J9" s="24"/>
      <c r="K9" s="24"/>
      <c r="L9" s="24"/>
      <c r="M9" s="8"/>
      <c r="U9" s="10"/>
      <c r="V9" s="10"/>
      <c r="W9" s="10"/>
    </row>
    <row r="10" spans="1:23" ht="18" x14ac:dyDescent="0.35">
      <c r="B10" s="31" t="s">
        <v>76</v>
      </c>
      <c r="C10" s="25"/>
      <c r="D10" s="25"/>
      <c r="E10" s="25"/>
      <c r="F10" s="25"/>
      <c r="G10" s="25"/>
      <c r="H10" s="25"/>
      <c r="I10" s="25"/>
      <c r="J10" s="25"/>
      <c r="K10" s="25"/>
      <c r="L10" s="25"/>
      <c r="M10" s="8"/>
      <c r="U10" s="10"/>
      <c r="V10" s="10"/>
      <c r="W10" s="10"/>
    </row>
    <row r="11" spans="1:23" x14ac:dyDescent="0.3">
      <c r="A11" t="s">
        <v>55</v>
      </c>
      <c r="B11" t="s">
        <v>12</v>
      </c>
      <c r="C11" s="12">
        <f>IFERROR('Data Sheet'!B17,0)</f>
        <v>10009.6</v>
      </c>
      <c r="D11" s="12">
        <f>IFERROR('Data Sheet'!C17,0)</f>
        <v>11292.27</v>
      </c>
      <c r="E11" s="12">
        <f>IFERROR('Data Sheet'!D17,0)</f>
        <v>12368.9</v>
      </c>
      <c r="F11" s="12">
        <f>IFERROR('Data Sheet'!E17,0)</f>
        <v>13350.03</v>
      </c>
      <c r="G11" s="12">
        <f>IFERROR('Data Sheet'!F17,0)</f>
        <v>14740.59</v>
      </c>
      <c r="H11" s="12">
        <f>IFERROR('Data Sheet'!G17,0)</f>
        <v>16896.96</v>
      </c>
      <c r="I11" s="12">
        <f>IFERROR('Data Sheet'!H17,0)</f>
        <v>19126.3</v>
      </c>
      <c r="J11" s="12">
        <f>IFERROR('Data Sheet'!I17,0)</f>
        <v>24393.89</v>
      </c>
      <c r="K11" s="12">
        <f>IFERROR('Data Sheet'!J17,0)</f>
        <v>20201.560000000001</v>
      </c>
      <c r="L11" s="12">
        <f>IFERROR('Data Sheet'!K17,0)</f>
        <v>23154.6</v>
      </c>
      <c r="T11" s="20"/>
      <c r="U11" s="11"/>
      <c r="V11" s="9"/>
      <c r="W11" s="9"/>
    </row>
    <row r="12" spans="1:23" s="15" customFormat="1" x14ac:dyDescent="0.3">
      <c r="B12" s="15" t="s">
        <v>56</v>
      </c>
      <c r="C12" s="15" t="s">
        <v>57</v>
      </c>
      <c r="D12" s="17">
        <f>D11/C11-1</f>
        <v>0.12814398177749364</v>
      </c>
      <c r="E12" s="17">
        <f t="shared" ref="E12:L12" si="0">E11/D11-1</f>
        <v>9.5342211973323376E-2</v>
      </c>
      <c r="F12" s="17">
        <f t="shared" si="0"/>
        <v>7.932233262456645E-2</v>
      </c>
      <c r="G12" s="17">
        <f t="shared" si="0"/>
        <v>0.10416156368187934</v>
      </c>
      <c r="H12" s="17">
        <f t="shared" si="0"/>
        <v>0.14628790299438488</v>
      </c>
      <c r="I12" s="17">
        <f t="shared" si="0"/>
        <v>0.13193734257523237</v>
      </c>
      <c r="J12" s="17">
        <f t="shared" si="0"/>
        <v>0.27541082174806419</v>
      </c>
      <c r="K12" s="17">
        <f>K11/J11-1</f>
        <v>-0.1718598386727167</v>
      </c>
      <c r="L12" s="17">
        <f t="shared" si="0"/>
        <v>0.14617880995329058</v>
      </c>
      <c r="N12" s="248"/>
      <c r="U12" s="181"/>
      <c r="V12" s="16"/>
      <c r="W12" s="16"/>
    </row>
    <row r="13" spans="1:23" x14ac:dyDescent="0.3">
      <c r="B13" t="s">
        <v>58</v>
      </c>
      <c r="C13" s="12">
        <f>IFERROR(SUM('Data Sheet'!B18,'Data Sheet'!B20:B22)-1*'Data Sheet'!B19,0)</f>
        <v>5821.1599999999989</v>
      </c>
      <c r="D13" s="12">
        <f>IFERROR(SUM('Data Sheet'!C18,'Data Sheet'!C20:C22)-1*'Data Sheet'!C19,0)</f>
        <v>6241.4</v>
      </c>
      <c r="E13" s="12">
        <f>IFERROR(SUM('Data Sheet'!D18,'Data Sheet'!D20:D22)-1*'Data Sheet'!D19,0)</f>
        <v>7003.97</v>
      </c>
      <c r="F13" s="12">
        <f>IFERROR(SUM('Data Sheet'!E18,'Data Sheet'!E20:E22)-1*'Data Sheet'!E19,0)</f>
        <v>7687.4</v>
      </c>
      <c r="G13" s="12">
        <f>IFERROR(SUM('Data Sheet'!F18,'Data Sheet'!F20:F22)-1*'Data Sheet'!F19,0)</f>
        <v>8521.1500000000015</v>
      </c>
      <c r="H13" s="12">
        <f>IFERROR(SUM('Data Sheet'!G18,'Data Sheet'!G20:G22)-1*'Data Sheet'!G19,0)</f>
        <v>10221.700000000001</v>
      </c>
      <c r="I13" s="12">
        <f>IFERROR(SUM('Data Sheet'!H18,'Data Sheet'!H20:H22)-1*'Data Sheet'!H19,0)</f>
        <v>10281.89</v>
      </c>
      <c r="J13" s="12">
        <f>IFERROR(SUM('Data Sheet'!I18,'Data Sheet'!I20:I22)-1*'Data Sheet'!I19,0)</f>
        <v>14101.72</v>
      </c>
      <c r="K13" s="12">
        <f>IFERROR(SUM('Data Sheet'!J18,'Data Sheet'!J20:J22)-1*'Data Sheet'!J19,0)</f>
        <v>11692.86</v>
      </c>
      <c r="L13" s="12">
        <f>IFERROR(SUM('Data Sheet'!K18,'Data Sheet'!K20:K22)-1*'Data Sheet'!K19,0)</f>
        <v>13627.64</v>
      </c>
      <c r="S13" s="26"/>
      <c r="T13" s="179"/>
      <c r="U13" s="11"/>
      <c r="V13" s="9"/>
      <c r="W13" s="9"/>
    </row>
    <row r="14" spans="1:23" x14ac:dyDescent="0.3">
      <c r="B14" s="15" t="s">
        <v>59</v>
      </c>
      <c r="C14" s="27">
        <f t="shared" ref="C14:L14" si="1">C13/C11</f>
        <v>0.58155770460358047</v>
      </c>
      <c r="D14" s="27">
        <f>D13/D11</f>
        <v>0.55271437895126485</v>
      </c>
      <c r="E14" s="27">
        <f t="shared" si="1"/>
        <v>0.5662564981526248</v>
      </c>
      <c r="F14" s="27">
        <f t="shared" si="1"/>
        <v>0.57583391198371836</v>
      </c>
      <c r="G14" s="27">
        <f t="shared" si="1"/>
        <v>0.5780738762831068</v>
      </c>
      <c r="H14" s="27">
        <f t="shared" si="1"/>
        <v>0.60494313770050956</v>
      </c>
      <c r="I14" s="27">
        <f t="shared" si="1"/>
        <v>0.53757862210673257</v>
      </c>
      <c r="J14" s="27">
        <f t="shared" si="1"/>
        <v>0.57808410220756101</v>
      </c>
      <c r="K14" s="27">
        <f t="shared" si="1"/>
        <v>0.57880975528622536</v>
      </c>
      <c r="L14" s="27">
        <f t="shared" si="1"/>
        <v>0.58855000734195362</v>
      </c>
    </row>
    <row r="16" spans="1:23" x14ac:dyDescent="0.3">
      <c r="B16" s="57" t="s">
        <v>60</v>
      </c>
      <c r="C16" s="34">
        <f t="shared" ref="C16:L16" si="2">C11-C13</f>
        <v>4188.4400000000014</v>
      </c>
      <c r="D16" s="34">
        <f>D11-D13</f>
        <v>5050.8700000000008</v>
      </c>
      <c r="E16" s="34">
        <f t="shared" si="2"/>
        <v>5364.9299999999994</v>
      </c>
      <c r="F16" s="34">
        <f t="shared" si="2"/>
        <v>5662.630000000001</v>
      </c>
      <c r="G16" s="34">
        <f t="shared" si="2"/>
        <v>6219.4399999999987</v>
      </c>
      <c r="H16" s="34">
        <f t="shared" si="2"/>
        <v>6675.2599999999984</v>
      </c>
      <c r="I16" s="34">
        <f t="shared" si="2"/>
        <v>8844.41</v>
      </c>
      <c r="J16" s="34">
        <f t="shared" si="2"/>
        <v>10292.17</v>
      </c>
      <c r="K16" s="34">
        <f t="shared" si="2"/>
        <v>8508.7000000000007</v>
      </c>
      <c r="L16" s="34">
        <f t="shared" si="2"/>
        <v>9526.9599999999991</v>
      </c>
    </row>
    <row r="18" spans="2:20" ht="15.6" x14ac:dyDescent="0.3">
      <c r="B18" t="s">
        <v>61</v>
      </c>
      <c r="C18" s="12">
        <f>IFERROR('Data Sheet'!B23,0)</f>
        <v>1823.98</v>
      </c>
      <c r="D18" s="12">
        <f>IFERROR('Data Sheet'!C23,0)</f>
        <v>2145.8200000000002</v>
      </c>
      <c r="E18" s="12">
        <f>IFERROR('Data Sheet'!D23,0)</f>
        <v>2226.13</v>
      </c>
      <c r="F18" s="12">
        <f>IFERROR('Data Sheet'!E23,0)</f>
        <v>2246.9</v>
      </c>
      <c r="G18" s="12">
        <f>IFERROR('Data Sheet'!F23,0)</f>
        <v>2902.12</v>
      </c>
      <c r="H18" s="12">
        <f>IFERROR('Data Sheet'!G23,0)</f>
        <v>3192.15</v>
      </c>
      <c r="I18" s="12">
        <f>IFERROR('Data Sheet'!H23,0)</f>
        <v>0</v>
      </c>
      <c r="J18" s="12">
        <f>IFERROR('Data Sheet'!I23,0)</f>
        <v>4837.58</v>
      </c>
      <c r="K18" s="12">
        <f>IFERROR('Data Sheet'!J23,0)</f>
        <v>4126.54</v>
      </c>
      <c r="L18" s="12">
        <f>IFERROR('Data Sheet'!K23,0)</f>
        <v>4780.8999999999996</v>
      </c>
      <c r="T18" s="180"/>
    </row>
    <row r="19" spans="2:20" x14ac:dyDescent="0.3">
      <c r="B19" s="15" t="s">
        <v>62</v>
      </c>
      <c r="C19" s="17">
        <f t="shared" ref="C19:L19" si="3">C18/C11</f>
        <v>0.1822230658567775</v>
      </c>
      <c r="D19" s="17">
        <f t="shared" si="3"/>
        <v>0.19002556616163094</v>
      </c>
      <c r="E19" s="17">
        <f t="shared" si="3"/>
        <v>0.17997800936219066</v>
      </c>
      <c r="F19" s="17">
        <f t="shared" si="3"/>
        <v>0.16830673788748041</v>
      </c>
      <c r="G19" s="17">
        <f t="shared" si="3"/>
        <v>0.19687950075268357</v>
      </c>
      <c r="H19" s="17">
        <f t="shared" si="3"/>
        <v>0.18891859837509234</v>
      </c>
      <c r="I19" s="17">
        <f t="shared" si="3"/>
        <v>0</v>
      </c>
      <c r="J19" s="17">
        <f t="shared" si="3"/>
        <v>0.19831113446850832</v>
      </c>
      <c r="K19" s="17">
        <f t="shared" si="3"/>
        <v>0.20426838323377006</v>
      </c>
      <c r="L19" s="17">
        <f t="shared" si="3"/>
        <v>0.20647733063840445</v>
      </c>
      <c r="N19" s="17"/>
    </row>
    <row r="20" spans="2:20" x14ac:dyDescent="0.3">
      <c r="O20" s="12"/>
    </row>
    <row r="21" spans="2:20" x14ac:dyDescent="0.3">
      <c r="B21" t="s">
        <v>79</v>
      </c>
      <c r="C21" s="12">
        <f>IFERROR('Data Sheet'!B24,0)</f>
        <v>267.93</v>
      </c>
      <c r="D21" s="12">
        <f>IFERROR('Data Sheet'!C24,0)</f>
        <v>287.39999999999998</v>
      </c>
      <c r="E21" s="12">
        <f>IFERROR('Data Sheet'!D24,0)</f>
        <v>212.92</v>
      </c>
      <c r="F21" s="12">
        <f>IFERROR('Data Sheet'!E24,0)</f>
        <v>214.23</v>
      </c>
      <c r="G21" s="332">
        <f>IFERROR('Data Sheet'!F24,0)</f>
        <v>-245.08</v>
      </c>
      <c r="H21" s="332">
        <f>IFERROR('Data Sheet'!G24,0)</f>
        <v>-223.18</v>
      </c>
      <c r="I21" s="332">
        <f>IFERROR('Data Sheet'!H24,0)</f>
        <v>4373.42</v>
      </c>
      <c r="J21" s="332">
        <f>IFERROR('Data Sheet'!I24,0)</f>
        <v>-388.53</v>
      </c>
      <c r="K21" s="332">
        <f>IFERROR('Data Sheet'!J24,0)</f>
        <v>-389.17</v>
      </c>
      <c r="L21" s="332">
        <f>IFERROR('Data Sheet'!K24,0)</f>
        <v>-560.9</v>
      </c>
      <c r="O21" s="12"/>
    </row>
    <row r="23" spans="2:20" x14ac:dyDescent="0.3">
      <c r="B23" s="57" t="s">
        <v>63</v>
      </c>
      <c r="C23" s="34">
        <f>C16-C18-ABS(C21)</f>
        <v>2096.5300000000016</v>
      </c>
      <c r="D23" s="34">
        <f>D16-D18-ABS(D21)</f>
        <v>2617.6500000000005</v>
      </c>
      <c r="E23" s="34">
        <f>E16-E18-ABS(E21)</f>
        <v>2925.8799999999992</v>
      </c>
      <c r="F23" s="34">
        <f>F16-F18-ABS(F21)</f>
        <v>3201.5000000000009</v>
      </c>
      <c r="G23" s="34">
        <f>G16-G18-G21</f>
        <v>3562.3999999999987</v>
      </c>
      <c r="H23" s="34">
        <f>H16-H18-H21</f>
        <v>3706.2899999999981</v>
      </c>
      <c r="I23" s="34">
        <f>I16-I18-ABS(I21)</f>
        <v>4470.99</v>
      </c>
      <c r="J23" s="34">
        <f>J16-J18-J21</f>
        <v>5843.12</v>
      </c>
      <c r="K23" s="34">
        <f>K16-K18-K21</f>
        <v>4771.3300000000008</v>
      </c>
      <c r="L23" s="34">
        <f>L16-L18-L21</f>
        <v>5306.9599999999991</v>
      </c>
      <c r="O23" s="12"/>
    </row>
    <row r="24" spans="2:20" x14ac:dyDescent="0.3">
      <c r="B24" s="15" t="s">
        <v>64</v>
      </c>
      <c r="C24" s="17">
        <f t="shared" ref="C24:L24" si="4">C23/C11</f>
        <v>0.20945192615089528</v>
      </c>
      <c r="D24" s="17">
        <f t="shared" si="4"/>
        <v>0.23180901625625322</v>
      </c>
      <c r="E24" s="17">
        <f t="shared" si="4"/>
        <v>0.23655135056472276</v>
      </c>
      <c r="F24" s="17">
        <f t="shared" si="4"/>
        <v>0.23981219517858768</v>
      </c>
      <c r="G24" s="17">
        <f t="shared" si="4"/>
        <v>0.24167282313665861</v>
      </c>
      <c r="H24" s="17">
        <f t="shared" si="4"/>
        <v>0.21934655701380593</v>
      </c>
      <c r="I24" s="17">
        <f t="shared" si="4"/>
        <v>0.23376136524053268</v>
      </c>
      <c r="J24" s="17">
        <f t="shared" si="4"/>
        <v>0.23953211234452562</v>
      </c>
      <c r="K24" s="17">
        <f t="shared" si="4"/>
        <v>0.23618621532198505</v>
      </c>
      <c r="L24" s="17">
        <f t="shared" si="4"/>
        <v>0.22919679027061576</v>
      </c>
    </row>
    <row r="25" spans="2:20" x14ac:dyDescent="0.3">
      <c r="C25" s="12"/>
      <c r="D25" s="12"/>
      <c r="E25" s="12"/>
      <c r="F25" s="12"/>
      <c r="G25" s="12"/>
      <c r="H25" s="12"/>
      <c r="I25" s="12"/>
      <c r="J25" s="12"/>
      <c r="K25" s="12"/>
      <c r="L25" s="12"/>
      <c r="O25" s="12"/>
    </row>
    <row r="26" spans="2:20" x14ac:dyDescent="0.3">
      <c r="B26" t="s">
        <v>20</v>
      </c>
      <c r="C26" s="12">
        <f>IFERROR('Data Sheet'!B25,0)</f>
        <v>176.92</v>
      </c>
      <c r="D26" s="12">
        <f>IFERROR('Data Sheet'!C25,0)</f>
        <v>258.92</v>
      </c>
      <c r="E26" s="12">
        <f>IFERROR('Data Sheet'!D25,0)</f>
        <v>246.88</v>
      </c>
      <c r="F26" s="12">
        <f>IFERROR('Data Sheet'!E25,0)</f>
        <v>145.85</v>
      </c>
      <c r="G26" s="332">
        <f>IFERROR('Data Sheet'!F25,0)</f>
        <v>-112.38</v>
      </c>
      <c r="H26" s="12">
        <f>IFERROR('Data Sheet'!G25,0)</f>
        <v>107.26</v>
      </c>
      <c r="I26" s="12">
        <f>IFERROR('Data Sheet'!H25,0)</f>
        <v>115.5</v>
      </c>
      <c r="J26" s="12">
        <f>IFERROR('Data Sheet'!I25,0)</f>
        <v>158.99</v>
      </c>
      <c r="K26" s="12">
        <f>IFERROR('Data Sheet'!J25,0)</f>
        <v>352.06</v>
      </c>
      <c r="L26" s="12">
        <f>IFERROR('Data Sheet'!K25,0)</f>
        <v>160.22999999999999</v>
      </c>
      <c r="O26" s="12"/>
    </row>
    <row r="27" spans="2:20" x14ac:dyDescent="0.3">
      <c r="C27" s="12"/>
      <c r="D27" s="12"/>
      <c r="E27" s="12"/>
      <c r="F27" s="12"/>
      <c r="G27" s="12"/>
      <c r="H27" s="12"/>
      <c r="I27" s="12"/>
      <c r="J27" s="12"/>
      <c r="K27" s="12"/>
      <c r="L27" s="12"/>
      <c r="O27" s="12"/>
    </row>
    <row r="28" spans="2:20" x14ac:dyDescent="0.3">
      <c r="B28" t="s">
        <v>21</v>
      </c>
      <c r="C28" s="12">
        <f>IFERROR('Data Sheet'!B26,0)</f>
        <v>342.25</v>
      </c>
      <c r="D28" s="12">
        <f>IFERROR('Data Sheet'!C26,0)</f>
        <v>335.67</v>
      </c>
      <c r="E28" s="12">
        <f>IFERROR('Data Sheet'!D26,0)</f>
        <v>370.15</v>
      </c>
      <c r="F28" s="12">
        <f>IFERROR('Data Sheet'!E26,0)</f>
        <v>370.38</v>
      </c>
      <c r="G28" s="12">
        <f>IFERROR('Data Sheet'!F26,0)</f>
        <v>391.02</v>
      </c>
      <c r="H28" s="12">
        <f>IFERROR('Data Sheet'!G26,0)</f>
        <v>403.01</v>
      </c>
      <c r="I28" s="12">
        <f>IFERROR('Data Sheet'!H26,0)</f>
        <v>428.91</v>
      </c>
      <c r="J28" s="12">
        <f>IFERROR('Data Sheet'!I26,0)</f>
        <v>567.75</v>
      </c>
      <c r="K28" s="12">
        <f>IFERROR('Data Sheet'!J26,0)</f>
        <v>539.91999999999996</v>
      </c>
      <c r="L28" s="12">
        <f>IFERROR('Data Sheet'!K26,0)</f>
        <v>699.23</v>
      </c>
      <c r="O28" s="12"/>
    </row>
    <row r="29" spans="2:20" ht="18" x14ac:dyDescent="0.3">
      <c r="B29" s="15" t="s">
        <v>66</v>
      </c>
      <c r="C29" s="17">
        <f t="shared" ref="C29:L29" si="5">C28/C11</f>
        <v>3.4192175511508952E-2</v>
      </c>
      <c r="D29" s="17">
        <f t="shared" si="5"/>
        <v>2.9725644179602505E-2</v>
      </c>
      <c r="E29" s="17">
        <f t="shared" si="5"/>
        <v>2.9925862445326586E-2</v>
      </c>
      <c r="F29" s="17">
        <f t="shared" si="5"/>
        <v>2.7743757879195776E-2</v>
      </c>
      <c r="G29" s="17">
        <f t="shared" si="5"/>
        <v>2.6526753678109218E-2</v>
      </c>
      <c r="H29" s="17">
        <f t="shared" si="5"/>
        <v>2.3851035925989056E-2</v>
      </c>
      <c r="I29" s="17">
        <f t="shared" si="5"/>
        <v>2.2425142343265557E-2</v>
      </c>
      <c r="J29" s="17">
        <f t="shared" si="5"/>
        <v>2.3274270729268683E-2</v>
      </c>
      <c r="K29" s="17">
        <f t="shared" si="5"/>
        <v>2.6726648833060414E-2</v>
      </c>
      <c r="L29" s="17">
        <f t="shared" si="5"/>
        <v>3.0198319124493625E-2</v>
      </c>
      <c r="M29" s="28"/>
      <c r="O29" s="12"/>
      <c r="T29" s="21"/>
    </row>
    <row r="30" spans="2:20" x14ac:dyDescent="0.3">
      <c r="T30" s="22"/>
    </row>
    <row r="31" spans="2:20" x14ac:dyDescent="0.3">
      <c r="B31" s="57" t="s">
        <v>149</v>
      </c>
      <c r="C31" s="34">
        <f>C23+C26-C28</f>
        <v>1931.2000000000016</v>
      </c>
      <c r="D31" s="34">
        <f t="shared" ref="D31:F31" si="6">D23+D26-D28</f>
        <v>2540.9000000000005</v>
      </c>
      <c r="E31" s="34">
        <f t="shared" si="6"/>
        <v>2802.6099999999992</v>
      </c>
      <c r="F31" s="34">
        <f t="shared" si="6"/>
        <v>2976.9700000000007</v>
      </c>
      <c r="G31" s="34">
        <f>G23+G26-G28</f>
        <v>3058.9999999999986</v>
      </c>
      <c r="H31" s="34">
        <f>H23+H26-H28</f>
        <v>3410.5399999999981</v>
      </c>
      <c r="I31" s="34">
        <f t="shared" ref="I31:L31" si="7">I23+I26-I28</f>
        <v>4157.58</v>
      </c>
      <c r="J31" s="34">
        <f t="shared" si="7"/>
        <v>5434.36</v>
      </c>
      <c r="K31" s="34">
        <f t="shared" si="7"/>
        <v>4583.4700000000012</v>
      </c>
      <c r="L31" s="34">
        <f t="shared" si="7"/>
        <v>4767.9599999999991</v>
      </c>
    </row>
    <row r="32" spans="2:20" x14ac:dyDescent="0.3">
      <c r="T32" s="22"/>
    </row>
    <row r="33" spans="2:20" x14ac:dyDescent="0.3">
      <c r="B33" t="s">
        <v>22</v>
      </c>
      <c r="C33" s="12">
        <f>IFERROR('Data Sheet'!B27,0)</f>
        <v>91.9</v>
      </c>
      <c r="D33" s="12">
        <f>IFERROR('Data Sheet'!C27,0)</f>
        <v>111.95</v>
      </c>
      <c r="E33" s="12">
        <f>IFERROR('Data Sheet'!D27,0)</f>
        <v>129.12</v>
      </c>
      <c r="F33" s="12">
        <f>IFERROR('Data Sheet'!E27,0)</f>
        <v>164.18</v>
      </c>
      <c r="G33" s="12">
        <f>IFERROR('Data Sheet'!F27,0)</f>
        <v>201.68</v>
      </c>
      <c r="H33" s="12">
        <f>IFERROR('Data Sheet'!G27,0)</f>
        <v>154.57</v>
      </c>
      <c r="I33" s="12">
        <f>IFERROR('Data Sheet'!H27,0)</f>
        <v>119.29</v>
      </c>
      <c r="J33" s="12">
        <f>IFERROR('Data Sheet'!I27,0)</f>
        <v>145.49</v>
      </c>
      <c r="K33" s="12">
        <f>IFERROR('Data Sheet'!J27,0)</f>
        <v>136</v>
      </c>
      <c r="L33" s="12">
        <f>IFERROR('Data Sheet'!K27,0)</f>
        <v>158.31</v>
      </c>
      <c r="O33" s="12"/>
      <c r="T33" s="22"/>
    </row>
    <row r="34" spans="2:20" x14ac:dyDescent="0.3">
      <c r="B34" s="15" t="s">
        <v>65</v>
      </c>
      <c r="C34" s="17">
        <f t="shared" ref="C34:L34" si="8">C33/C11</f>
        <v>9.1811860613810747E-3</v>
      </c>
      <c r="D34" s="17">
        <f t="shared" si="8"/>
        <v>9.9138614291015004E-3</v>
      </c>
      <c r="E34" s="17">
        <f t="shared" si="8"/>
        <v>1.0439085124788786E-2</v>
      </c>
      <c r="F34" s="17">
        <f t="shared" si="8"/>
        <v>1.2298099704644858E-2</v>
      </c>
      <c r="G34" s="17">
        <f t="shared" si="8"/>
        <v>1.3681948958623773E-2</v>
      </c>
      <c r="H34" s="17">
        <f t="shared" si="8"/>
        <v>9.1477993674601819E-3</v>
      </c>
      <c r="I34" s="17">
        <f t="shared" si="8"/>
        <v>6.2369616705792554E-3</v>
      </c>
      <c r="J34" s="17">
        <f t="shared" si="8"/>
        <v>5.9641984119793937E-3</v>
      </c>
      <c r="K34" s="17">
        <f t="shared" si="8"/>
        <v>6.732153358453505E-3</v>
      </c>
      <c r="L34" s="17">
        <f t="shared" si="8"/>
        <v>6.8370863672877098E-3</v>
      </c>
      <c r="O34" s="12"/>
      <c r="T34" s="22"/>
    </row>
    <row r="35" spans="2:20" s="15" customFormat="1" x14ac:dyDescent="0.3">
      <c r="O35" s="18"/>
    </row>
    <row r="36" spans="2:20" x14ac:dyDescent="0.3">
      <c r="O36" s="12"/>
    </row>
    <row r="37" spans="2:20" x14ac:dyDescent="0.3">
      <c r="B37" s="57" t="s">
        <v>67</v>
      </c>
      <c r="C37" s="34">
        <f>C31-C33</f>
        <v>1839.3000000000015</v>
      </c>
      <c r="D37" s="34">
        <f t="shared" ref="D37:F37" si="9">D31-D33</f>
        <v>2428.9500000000007</v>
      </c>
      <c r="E37" s="34">
        <f t="shared" si="9"/>
        <v>2673.4899999999993</v>
      </c>
      <c r="F37" s="34">
        <f t="shared" si="9"/>
        <v>2812.7900000000009</v>
      </c>
      <c r="G37" s="34">
        <f>G31-G33</f>
        <v>2857.3199999999988</v>
      </c>
      <c r="H37" s="34">
        <f t="shared" ref="H37:L37" si="10">H31-H33</f>
        <v>3255.969999999998</v>
      </c>
      <c r="I37" s="34">
        <f t="shared" si="10"/>
        <v>4038.29</v>
      </c>
      <c r="J37" s="34">
        <f t="shared" si="10"/>
        <v>5288.87</v>
      </c>
      <c r="K37" s="34">
        <f t="shared" si="10"/>
        <v>4447.4700000000012</v>
      </c>
      <c r="L37" s="34">
        <f t="shared" si="10"/>
        <v>4609.6499999999987</v>
      </c>
    </row>
    <row r="38" spans="2:20" s="15" customFormat="1" x14ac:dyDescent="0.3">
      <c r="B38" s="15" t="s">
        <v>68</v>
      </c>
      <c r="C38" s="17">
        <f t="shared" ref="C38:L38" si="11">C37/C11</f>
        <v>0.18375359654731471</v>
      </c>
      <c r="D38" s="17">
        <f t="shared" si="11"/>
        <v>0.21509847001532911</v>
      </c>
      <c r="E38" s="17">
        <f t="shared" si="11"/>
        <v>0.21614614072391233</v>
      </c>
      <c r="F38" s="17">
        <f t="shared" si="11"/>
        <v>0.2106954066769888</v>
      </c>
      <c r="G38" s="17">
        <f t="shared" si="11"/>
        <v>0.19384027369325099</v>
      </c>
      <c r="H38" s="17">
        <f t="shared" si="11"/>
        <v>0.1926956091509951</v>
      </c>
      <c r="I38" s="17">
        <f t="shared" si="11"/>
        <v>0.21113806643208566</v>
      </c>
      <c r="J38" s="17">
        <f t="shared" si="11"/>
        <v>0.21681125888490929</v>
      </c>
      <c r="K38" s="17">
        <f t="shared" si="11"/>
        <v>0.22015478012589132</v>
      </c>
      <c r="L38" s="17">
        <f t="shared" si="11"/>
        <v>0.19908139203441214</v>
      </c>
      <c r="M38" s="248"/>
      <c r="O38" s="18"/>
      <c r="T38" s="20"/>
    </row>
    <row r="39" spans="2:20" x14ac:dyDescent="0.3">
      <c r="T39" s="20"/>
    </row>
    <row r="41" spans="2:20" x14ac:dyDescent="0.3">
      <c r="B41" t="s">
        <v>69</v>
      </c>
      <c r="C41" s="12">
        <f>IFERROR('Data Sheet'!B29,0)</f>
        <v>614.11</v>
      </c>
      <c r="D41" s="12">
        <f>IFERROR('Data Sheet'!C29,0)</f>
        <v>822.02</v>
      </c>
      <c r="E41" s="12">
        <f>IFERROR('Data Sheet'!D29,0)</f>
        <v>705.05</v>
      </c>
      <c r="F41" s="12">
        <f>IFERROR('Data Sheet'!E29,0)</f>
        <v>730.36</v>
      </c>
      <c r="G41" s="12">
        <f>IFERROR('Data Sheet'!F29,0)</f>
        <v>738.91</v>
      </c>
      <c r="H41" s="12">
        <f>IFERROR('Data Sheet'!G29,0)</f>
        <v>865.45</v>
      </c>
      <c r="I41" s="12">
        <f>IFERROR('Data Sheet'!H29,0)</f>
        <v>1039.6199999999999</v>
      </c>
      <c r="J41" s="12">
        <f>IFERROR('Data Sheet'!I29,0)</f>
        <v>1356.03</v>
      </c>
      <c r="K41" s="12">
        <f>IFERROR('Data Sheet'!J29,0)</f>
        <v>1132.97</v>
      </c>
      <c r="L41" s="12">
        <f>IFERROR('Data Sheet'!K29,0)</f>
        <v>1065.05</v>
      </c>
    </row>
    <row r="42" spans="2:20" s="15" customFormat="1" x14ac:dyDescent="0.3">
      <c r="B42" s="15" t="s">
        <v>70</v>
      </c>
      <c r="C42" s="27">
        <f>C41/C37</f>
        <v>0.33388245528190047</v>
      </c>
      <c r="D42" s="27">
        <f t="shared" ref="D42:L42" si="12">D41/D37</f>
        <v>0.33842606887749838</v>
      </c>
      <c r="E42" s="27">
        <f t="shared" si="12"/>
        <v>0.26371895911336873</v>
      </c>
      <c r="F42" s="27">
        <f t="shared" si="12"/>
        <v>0.25965678205625015</v>
      </c>
      <c r="G42" s="27">
        <f t="shared" si="12"/>
        <v>0.25860246664706799</v>
      </c>
      <c r="H42" s="27">
        <f t="shared" si="12"/>
        <v>0.26580404610607611</v>
      </c>
      <c r="I42" s="27">
        <f t="shared" si="12"/>
        <v>0.25744064938377381</v>
      </c>
      <c r="J42" s="27">
        <f t="shared" si="12"/>
        <v>0.25639314258055124</v>
      </c>
      <c r="K42" s="27">
        <f t="shared" si="12"/>
        <v>0.25474483245530599</v>
      </c>
      <c r="L42" s="27">
        <f t="shared" si="12"/>
        <v>0.23104791036195813</v>
      </c>
    </row>
    <row r="44" spans="2:20" x14ac:dyDescent="0.3">
      <c r="B44" s="57" t="s">
        <v>71</v>
      </c>
      <c r="C44" s="34">
        <f>IFERROR(C37-C41,0)</f>
        <v>1225.1900000000014</v>
      </c>
      <c r="D44" s="34">
        <f t="shared" ref="D44:L44" si="13">IFERROR(D37-D41,0)</f>
        <v>1606.9300000000007</v>
      </c>
      <c r="E44" s="34">
        <f t="shared" si="13"/>
        <v>1968.4399999999994</v>
      </c>
      <c r="F44" s="34">
        <f t="shared" si="13"/>
        <v>2082.4300000000007</v>
      </c>
      <c r="G44" s="34">
        <f t="shared" si="13"/>
        <v>2118.4099999999989</v>
      </c>
      <c r="H44" s="34">
        <f t="shared" si="13"/>
        <v>2390.5199999999977</v>
      </c>
      <c r="I44" s="34">
        <f>IFERROR(I37-I41,0)</f>
        <v>2998.67</v>
      </c>
      <c r="J44" s="34">
        <f t="shared" si="13"/>
        <v>3932.84</v>
      </c>
      <c r="K44" s="34">
        <f t="shared" si="13"/>
        <v>3314.5000000000009</v>
      </c>
      <c r="L44" s="34">
        <f t="shared" si="13"/>
        <v>3544.5999999999985</v>
      </c>
    </row>
    <row r="45" spans="2:20" x14ac:dyDescent="0.3">
      <c r="B45" s="15" t="s">
        <v>72</v>
      </c>
      <c r="C45" s="17">
        <f t="shared" ref="C45:L45" si="14">C44/C11</f>
        <v>0.12240149456521753</v>
      </c>
      <c r="D45" s="17">
        <f t="shared" si="14"/>
        <v>0.14230354038647683</v>
      </c>
      <c r="E45" s="17">
        <f t="shared" si="14"/>
        <v>0.15914430547583047</v>
      </c>
      <c r="F45" s="17">
        <f t="shared" si="14"/>
        <v>0.15598691538520892</v>
      </c>
      <c r="G45" s="17">
        <f t="shared" si="14"/>
        <v>0.14371270078063353</v>
      </c>
      <c r="H45" s="17">
        <f t="shared" si="14"/>
        <v>0.14147633657178557</v>
      </c>
      <c r="I45" s="17">
        <f t="shared" si="14"/>
        <v>0.15678254550017517</v>
      </c>
      <c r="J45" s="17">
        <f t="shared" si="14"/>
        <v>0.16122233887256196</v>
      </c>
      <c r="K45" s="17">
        <f t="shared" si="14"/>
        <v>0.16407148754848638</v>
      </c>
      <c r="L45" s="17">
        <f t="shared" si="14"/>
        <v>0.15308405241291143</v>
      </c>
    </row>
    <row r="47" spans="2:20" x14ac:dyDescent="0.3">
      <c r="B47" t="s">
        <v>73</v>
      </c>
      <c r="C47">
        <f>IFERROR('Data Sheet'!B93,0)</f>
        <v>192.8</v>
      </c>
      <c r="D47">
        <f>IFERROR('Data Sheet'!C93,0)</f>
        <v>192.8</v>
      </c>
      <c r="E47">
        <f>IFERROR('Data Sheet'!D93,0)</f>
        <v>192.8</v>
      </c>
      <c r="F47">
        <f>IFERROR('Data Sheet'!E93,0)</f>
        <v>192.8</v>
      </c>
      <c r="G47">
        <f>IFERROR('Data Sheet'!F93,0)</f>
        <v>192.8</v>
      </c>
      <c r="H47">
        <f>IFERROR('Data Sheet'!G93,0)</f>
        <v>192.8</v>
      </c>
      <c r="I47">
        <f>IFERROR('Data Sheet'!H93,0)</f>
        <v>192.8</v>
      </c>
      <c r="J47">
        <f>IFERROR('Data Sheet'!I93,0)</f>
        <v>192.83</v>
      </c>
      <c r="K47">
        <f>IFERROR('Data Sheet'!J93,0)</f>
        <v>192.83</v>
      </c>
      <c r="L47">
        <f>IFERROR('Data Sheet'!K93,0)</f>
        <v>192.83</v>
      </c>
    </row>
    <row r="49" spans="1:20" x14ac:dyDescent="0.3">
      <c r="B49" t="s">
        <v>74</v>
      </c>
      <c r="C49" s="12">
        <f>IFERROR(C44/C47,0)</f>
        <v>6.3547199170124555</v>
      </c>
      <c r="D49" s="12">
        <f t="shared" ref="D49:L49" si="15">IFERROR(D44/D47,0)</f>
        <v>8.3346991701244839</v>
      </c>
      <c r="E49" s="12">
        <f>IFERROR(E44/E47,0)</f>
        <v>10.209751037344395</v>
      </c>
      <c r="F49" s="12">
        <f t="shared" si="15"/>
        <v>10.800985477178427</v>
      </c>
      <c r="G49" s="12">
        <f t="shared" si="15"/>
        <v>10.987603734439828</v>
      </c>
      <c r="H49" s="12">
        <f t="shared" si="15"/>
        <v>12.398962655601647</v>
      </c>
      <c r="I49" s="12">
        <f t="shared" si="15"/>
        <v>15.553267634854771</v>
      </c>
      <c r="J49" s="12">
        <f t="shared" si="15"/>
        <v>20.395374163771198</v>
      </c>
      <c r="K49" s="12">
        <f t="shared" si="15"/>
        <v>17.188715448840952</v>
      </c>
      <c r="L49" s="12">
        <f t="shared" si="15"/>
        <v>18.381994502930034</v>
      </c>
    </row>
    <row r="50" spans="1:20" s="15" customFormat="1" x14ac:dyDescent="0.3">
      <c r="B50" s="15" t="s">
        <v>75</v>
      </c>
      <c r="D50" s="17">
        <f>IFERROR(D49/C49-1,0)</f>
        <v>0.31157616369705821</v>
      </c>
      <c r="E50" s="17">
        <f>IFERROR(E49/D49-1,0)</f>
        <v>0.22496935149633068</v>
      </c>
      <c r="F50" s="17">
        <f t="shared" ref="F50:L50" si="16">IFERROR(F49/E49-1,0)</f>
        <v>5.7908800877853217E-2</v>
      </c>
      <c r="G50" s="17">
        <f t="shared" si="16"/>
        <v>1.7277891693837422E-2</v>
      </c>
      <c r="H50" s="17">
        <f t="shared" si="16"/>
        <v>0.1284501111682812</v>
      </c>
      <c r="I50" s="17">
        <f t="shared" si="16"/>
        <v>0.2544007161621753</v>
      </c>
      <c r="J50" s="17">
        <f t="shared" si="16"/>
        <v>0.3113240665945527</v>
      </c>
      <c r="K50" s="17">
        <f t="shared" si="16"/>
        <v>-0.15722480446700071</v>
      </c>
      <c r="L50" s="17">
        <f t="shared" si="16"/>
        <v>6.9422235631316331E-2</v>
      </c>
      <c r="T50"/>
    </row>
    <row r="52" spans="1:20" ht="18" x14ac:dyDescent="0.3">
      <c r="T52" s="21"/>
    </row>
    <row r="53" spans="1:20" x14ac:dyDescent="0.3">
      <c r="B53" t="s">
        <v>78</v>
      </c>
      <c r="C53" s="12">
        <f>IFERROR('Data Sheet'!B31/'Historical Analysis'!C47,0)</f>
        <v>4.3008817427385893</v>
      </c>
      <c r="D53" s="12">
        <f>IFERROR('Data Sheet'!C31/'Historical Analysis'!D47,0)</f>
        <v>5.7511929460580902</v>
      </c>
      <c r="E53" s="256">
        <f>IFERROR('Data Sheet'!D31/'Historical Analysis'!E47,0)</f>
        <v>17.103526970954356</v>
      </c>
      <c r="F53" s="12">
        <f>IFERROR('Data Sheet'!E31/'Historical Analysis'!F47,0)</f>
        <v>10.00207468879668</v>
      </c>
      <c r="G53" s="12">
        <f>IFERROR('Data Sheet'!F31/'Historical Analysis'!G47,0)</f>
        <v>10.00207468879668</v>
      </c>
      <c r="H53" s="12">
        <f>IFERROR('Data Sheet'!G31/'Historical Analysis'!H47,0)</f>
        <v>11.002282157676348</v>
      </c>
      <c r="I53" s="12">
        <f>IFERROR('Data Sheet'!H31/'Historical Analysis'!I47,0)</f>
        <v>8.7018153526970945</v>
      </c>
      <c r="J53" s="12">
        <f>IFERROR('Data Sheet'!I31/'Historical Analysis'!J47,0)</f>
        <v>16.100814188663588</v>
      </c>
      <c r="K53" s="12">
        <f>IFERROR('Data Sheet'!J31/'Historical Analysis'!K47,0)</f>
        <v>13.500700098532386</v>
      </c>
      <c r="L53" s="12">
        <f>IFERROR('Data Sheet'!K31/'Historical Analysis'!L47,0)</f>
        <v>12</v>
      </c>
    </row>
    <row r="54" spans="1:20" x14ac:dyDescent="0.3">
      <c r="B54" s="15" t="s">
        <v>80</v>
      </c>
      <c r="C54" s="17">
        <f>C53/C49</f>
        <v>0.67680114920950962</v>
      </c>
      <c r="D54" s="17">
        <f>D53/D49</f>
        <v>0.69003005731425726</v>
      </c>
      <c r="E54" s="259">
        <f>E53/E49</f>
        <v>1.6752148909796594</v>
      </c>
      <c r="F54" s="17">
        <f t="shared" ref="F54:L54" si="17">F53/F49</f>
        <v>0.92603352813780015</v>
      </c>
      <c r="G54" s="17">
        <f t="shared" si="17"/>
        <v>0.91030537053733751</v>
      </c>
      <c r="H54" s="17">
        <f t="shared" si="17"/>
        <v>0.88735505245720681</v>
      </c>
      <c r="I54" s="17">
        <f t="shared" si="17"/>
        <v>0.55948470488583268</v>
      </c>
      <c r="J54" s="17">
        <f t="shared" si="17"/>
        <v>0.78943460705240986</v>
      </c>
      <c r="K54" s="17">
        <f t="shared" si="17"/>
        <v>0.78543973449992432</v>
      </c>
      <c r="L54" s="17">
        <f t="shared" si="17"/>
        <v>0.65281272922191536</v>
      </c>
    </row>
    <row r="55" spans="1:20" x14ac:dyDescent="0.3">
      <c r="C55" s="17">
        <f>IFERROR(C53/C49,0)</f>
        <v>0.67680114920950962</v>
      </c>
      <c r="D55" s="17">
        <f t="shared" ref="D55:L55" si="18">IFERROR(D53/D49,0)</f>
        <v>0.69003005731425726</v>
      </c>
      <c r="E55" s="259">
        <f t="shared" si="18"/>
        <v>1.6752148909796594</v>
      </c>
      <c r="F55" s="17">
        <f t="shared" si="18"/>
        <v>0.92603352813780015</v>
      </c>
      <c r="G55" s="17">
        <f t="shared" si="18"/>
        <v>0.91030537053733751</v>
      </c>
      <c r="H55" s="17">
        <f t="shared" si="18"/>
        <v>0.88735505245720681</v>
      </c>
      <c r="I55" s="17">
        <f t="shared" si="18"/>
        <v>0.55948470488583268</v>
      </c>
      <c r="J55" s="17">
        <f t="shared" si="18"/>
        <v>0.78943460705240986</v>
      </c>
      <c r="K55" s="17">
        <f t="shared" si="18"/>
        <v>0.78543973449992432</v>
      </c>
      <c r="L55" s="17">
        <f t="shared" si="18"/>
        <v>0.65281272922191536</v>
      </c>
      <c r="T55" s="22"/>
    </row>
    <row r="56" spans="1:20" x14ac:dyDescent="0.3">
      <c r="E56" s="88"/>
      <c r="T56" s="22"/>
    </row>
    <row r="57" spans="1:20" x14ac:dyDescent="0.3">
      <c r="B57" s="64" t="s">
        <v>150</v>
      </c>
      <c r="C57" s="65">
        <f>IFERROR(IF(C49&gt;C53,1-C54,0),0)</f>
        <v>0.32319885079049038</v>
      </c>
      <c r="D57" s="65">
        <f t="shared" ref="D57:L57" si="19">IFERROR(IF(D49&gt;D53,1-D54,0),0)</f>
        <v>0.30996994268574274</v>
      </c>
      <c r="E57" s="257">
        <f t="shared" si="19"/>
        <v>0</v>
      </c>
      <c r="F57" s="65">
        <f t="shared" si="19"/>
        <v>7.3966471862199845E-2</v>
      </c>
      <c r="G57" s="65">
        <f t="shared" si="19"/>
        <v>8.969462946266249E-2</v>
      </c>
      <c r="H57" s="65">
        <f t="shared" si="19"/>
        <v>0.11264494754279319</v>
      </c>
      <c r="I57" s="65">
        <f t="shared" si="19"/>
        <v>0.44051529511416732</v>
      </c>
      <c r="J57" s="65">
        <f t="shared" si="19"/>
        <v>0.21056539294759014</v>
      </c>
      <c r="K57" s="65">
        <f t="shared" si="19"/>
        <v>0.21456026550007568</v>
      </c>
      <c r="L57" s="65">
        <f t="shared" si="19"/>
        <v>0.34718727077808464</v>
      </c>
      <c r="T57" s="22"/>
    </row>
    <row r="58" spans="1:20" x14ac:dyDescent="0.3">
      <c r="C58" s="28">
        <f>C57+C55</f>
        <v>1</v>
      </c>
      <c r="D58" s="28">
        <f t="shared" ref="D58:L58" si="20">D57+D55</f>
        <v>1</v>
      </c>
      <c r="E58" s="258">
        <f t="shared" si="20"/>
        <v>1.6752148909796594</v>
      </c>
      <c r="F58" s="28">
        <f t="shared" si="20"/>
        <v>1</v>
      </c>
      <c r="G58" s="28">
        <f t="shared" si="20"/>
        <v>1</v>
      </c>
      <c r="H58" s="28">
        <f t="shared" si="20"/>
        <v>1</v>
      </c>
      <c r="I58" s="28">
        <f t="shared" si="20"/>
        <v>1</v>
      </c>
      <c r="J58" s="28">
        <f t="shared" si="20"/>
        <v>1</v>
      </c>
      <c r="K58" s="28">
        <f t="shared" si="20"/>
        <v>1</v>
      </c>
      <c r="L58" s="28">
        <f t="shared" si="20"/>
        <v>1</v>
      </c>
    </row>
    <row r="59" spans="1:20" x14ac:dyDescent="0.3">
      <c r="B59" s="62" t="s">
        <v>151</v>
      </c>
      <c r="C59" s="63">
        <f>1-C54</f>
        <v>0.32319885079049038</v>
      </c>
      <c r="D59" s="63">
        <f t="shared" ref="D59:L59" si="21">1-D54</f>
        <v>0.30996994268574274</v>
      </c>
      <c r="E59" s="63">
        <f t="shared" si="21"/>
        <v>-0.67521489097965937</v>
      </c>
      <c r="F59" s="63">
        <f t="shared" si="21"/>
        <v>7.3966471862199845E-2</v>
      </c>
      <c r="G59" s="63">
        <f t="shared" si="21"/>
        <v>8.969462946266249E-2</v>
      </c>
      <c r="H59" s="63">
        <f t="shared" si="21"/>
        <v>0.11264494754279319</v>
      </c>
      <c r="I59" s="63">
        <f t="shared" si="21"/>
        <v>0.44051529511416732</v>
      </c>
      <c r="J59" s="63">
        <f t="shared" si="21"/>
        <v>0.21056539294759014</v>
      </c>
      <c r="K59" s="63">
        <f t="shared" si="21"/>
        <v>0.21456026550007568</v>
      </c>
      <c r="L59" s="63">
        <f t="shared" si="21"/>
        <v>0.34718727077808464</v>
      </c>
      <c r="T59" s="22"/>
    </row>
    <row r="61" spans="1:20" ht="18" x14ac:dyDescent="0.35">
      <c r="A61" t="s">
        <v>55</v>
      </c>
      <c r="B61" s="31" t="s">
        <v>81</v>
      </c>
      <c r="C61" s="25"/>
      <c r="D61" s="25"/>
      <c r="E61" s="25"/>
      <c r="F61" s="25"/>
      <c r="G61" s="25"/>
      <c r="H61" s="25"/>
      <c r="I61" s="25"/>
      <c r="J61" s="25"/>
      <c r="K61" s="25"/>
      <c r="L61" s="25"/>
    </row>
    <row r="63" spans="1:20" x14ac:dyDescent="0.3">
      <c r="B63" s="6" t="s">
        <v>31</v>
      </c>
      <c r="C63" s="12">
        <f>IFERROR('Data Sheet'!B57,0)</f>
        <v>96.42</v>
      </c>
      <c r="D63" s="12">
        <f>IFERROR('Data Sheet'!C57,0)</f>
        <v>96.42</v>
      </c>
      <c r="E63" s="12">
        <f>IFERROR('Data Sheet'!D57,0)</f>
        <v>96.42</v>
      </c>
      <c r="F63" s="12">
        <f>IFERROR('Data Sheet'!E57,0)</f>
        <v>96.42</v>
      </c>
      <c r="G63" s="12">
        <f>IFERROR('Data Sheet'!F57,0)</f>
        <v>96.42</v>
      </c>
      <c r="H63" s="12">
        <f>IFERROR('Data Sheet'!G57,0)</f>
        <v>96.42</v>
      </c>
      <c r="I63" s="12">
        <f>IFERROR('Data Sheet'!H57,0)</f>
        <v>96.42</v>
      </c>
      <c r="J63" s="12">
        <f>IFERROR('Data Sheet'!I57,0)</f>
        <v>96.42</v>
      </c>
      <c r="K63" s="12">
        <f>IFERROR('Data Sheet'!J57,0)</f>
        <v>96.42</v>
      </c>
      <c r="L63" s="29">
        <f>IFERROR('Data Sheet'!K57,0)</f>
        <v>192.83</v>
      </c>
    </row>
    <row r="64" spans="1:20" x14ac:dyDescent="0.3">
      <c r="B64" s="6" t="s">
        <v>32</v>
      </c>
      <c r="C64" s="12">
        <f>IFERROR('Data Sheet'!B58,0)</f>
        <v>3324.17</v>
      </c>
      <c r="D64" s="12">
        <f>IFERROR('Data Sheet'!C58,0)</f>
        <v>3577.32</v>
      </c>
      <c r="E64" s="246">
        <f>IFERROR('Data Sheet'!D58,0)</f>
        <v>1822.45</v>
      </c>
      <c r="F64" s="12">
        <f>IFERROR('Data Sheet'!E58,0)</f>
        <v>1922.92</v>
      </c>
      <c r="G64" s="12">
        <f>IFERROR('Data Sheet'!F58,0)</f>
        <v>1849.96</v>
      </c>
      <c r="H64" s="12">
        <f>IFERROR('Data Sheet'!G58,0)</f>
        <v>2362.75</v>
      </c>
      <c r="I64" s="12">
        <f>IFERROR('Data Sheet'!H58,0)</f>
        <v>2362.75</v>
      </c>
      <c r="J64" s="12">
        <f>IFERROR('Data Sheet'!I58,0)</f>
        <v>3244.47</v>
      </c>
      <c r="K64" s="12">
        <f>IFERROR('Data Sheet'!J58,0)</f>
        <v>4020.73</v>
      </c>
      <c r="L64" s="12">
        <f>IFERROR('Data Sheet'!K58,0)</f>
        <v>5116.41</v>
      </c>
      <c r="S64" s="10"/>
      <c r="T64" s="10"/>
    </row>
    <row r="65" spans="2:20" x14ac:dyDescent="0.3">
      <c r="B65" s="6" t="s">
        <v>33</v>
      </c>
      <c r="C65" s="12">
        <f>IFERROR('Data Sheet'!B59,0)</f>
        <v>35.14</v>
      </c>
      <c r="D65" s="12">
        <f>IFERROR('Data Sheet'!C59,0)</f>
        <v>35.14</v>
      </c>
      <c r="E65" s="12">
        <f>IFERROR('Data Sheet'!D59,0)</f>
        <v>188.94</v>
      </c>
      <c r="F65" s="12">
        <f>IFERROR('Data Sheet'!E59,0)</f>
        <v>147.49</v>
      </c>
      <c r="G65" s="12">
        <f>IFERROR('Data Sheet'!F59,0)</f>
        <v>266.45999999999998</v>
      </c>
      <c r="H65" s="12">
        <f>IFERROR('Data Sheet'!G59,0)</f>
        <v>270.52</v>
      </c>
      <c r="I65" s="12">
        <f>IFERROR('Data Sheet'!H59,0)</f>
        <v>270.52</v>
      </c>
      <c r="J65" s="12">
        <f>IFERROR('Data Sheet'!I59,0)</f>
        <v>344.53</v>
      </c>
      <c r="K65" s="12">
        <f>IFERROR('Data Sheet'!J59,0)</f>
        <v>1166.8499999999999</v>
      </c>
      <c r="L65" s="12">
        <f>IFERROR('Data Sheet'!K59,0)</f>
        <v>444.16</v>
      </c>
      <c r="S65" s="130"/>
      <c r="T65" s="130"/>
    </row>
    <row r="66" spans="2:20" x14ac:dyDescent="0.3">
      <c r="B66" s="6" t="s">
        <v>34</v>
      </c>
      <c r="C66" s="12">
        <f>IFERROR('Data Sheet'!B60,0)</f>
        <v>3906.86</v>
      </c>
      <c r="D66" s="12">
        <f>IFERROR('Data Sheet'!C60,0)</f>
        <v>4379.2</v>
      </c>
      <c r="E66" s="12">
        <f>IFERROR('Data Sheet'!D60,0)</f>
        <v>5065.13</v>
      </c>
      <c r="F66" s="12">
        <f>IFERROR('Data Sheet'!E60,0)</f>
        <v>5732.9</v>
      </c>
      <c r="G66" s="12">
        <f>IFERROR('Data Sheet'!F60,0)</f>
        <v>6021.29</v>
      </c>
      <c r="H66" s="12">
        <f>IFERROR('Data Sheet'!G60,0)</f>
        <v>6249.05</v>
      </c>
      <c r="I66" s="12">
        <f>IFERROR('Data Sheet'!H60,0)</f>
        <v>6249.05</v>
      </c>
      <c r="J66" s="12">
        <f>IFERROR('Data Sheet'!I60,0)</f>
        <v>6837.64</v>
      </c>
      <c r="K66" s="12">
        <f>IFERROR('Data Sheet'!J60,0)</f>
        <v>7039.89</v>
      </c>
      <c r="L66" s="12">
        <f>IFERROR('Data Sheet'!K60,0)</f>
        <v>7603.77</v>
      </c>
      <c r="S66" s="130"/>
      <c r="T66" s="130"/>
    </row>
    <row r="67" spans="2:20" x14ac:dyDescent="0.3">
      <c r="B67" s="33" t="s">
        <v>82</v>
      </c>
      <c r="C67" s="34">
        <f>IFERROR('Data Sheet'!B61,0)</f>
        <v>7362.59</v>
      </c>
      <c r="D67" s="34">
        <f>IFERROR('Data Sheet'!C61,0)</f>
        <v>8088.08</v>
      </c>
      <c r="E67" s="34">
        <f>IFERROR('Data Sheet'!D61,0)</f>
        <v>7172.94</v>
      </c>
      <c r="F67" s="34">
        <f>IFERROR('Data Sheet'!E61,0)</f>
        <v>7899.73</v>
      </c>
      <c r="G67" s="34">
        <f>IFERROR('Data Sheet'!F61,0)</f>
        <v>8234.1299999999992</v>
      </c>
      <c r="H67" s="34">
        <f>IFERROR('Data Sheet'!G61,0)</f>
        <v>8978.74</v>
      </c>
      <c r="I67" s="34">
        <f>IFERROR('Data Sheet'!H61,0)</f>
        <v>8978.74</v>
      </c>
      <c r="J67" s="34">
        <f>IFERROR('Data Sheet'!I61,0)</f>
        <v>10523.06</v>
      </c>
      <c r="K67" s="34">
        <f>IFERROR('Data Sheet'!J61,0)</f>
        <v>12323.89</v>
      </c>
      <c r="L67" s="34">
        <f>IFERROR('Data Sheet'!K61,0)</f>
        <v>13357.17</v>
      </c>
      <c r="S67" s="130"/>
      <c r="T67" s="130"/>
    </row>
    <row r="68" spans="2:20" x14ac:dyDescent="0.3">
      <c r="S68" s="130"/>
      <c r="T68" s="130"/>
    </row>
    <row r="69" spans="2:20" x14ac:dyDescent="0.3">
      <c r="B69" s="6" t="s">
        <v>84</v>
      </c>
      <c r="C69" s="12">
        <f>IFERROR('Data Sheet'!B62,0)</f>
        <v>2616.1799999999998</v>
      </c>
      <c r="D69" s="12">
        <f>IFERROR('Data Sheet'!C62,0)</f>
        <v>2400.62</v>
      </c>
      <c r="E69" s="12">
        <f>IFERROR('Data Sheet'!D62,0)</f>
        <v>2341.4499999999998</v>
      </c>
      <c r="F69" s="12">
        <f>IFERROR('Data Sheet'!E62,0)</f>
        <v>2179.41</v>
      </c>
      <c r="G69" s="12">
        <f>IFERROR('Data Sheet'!F62,0)</f>
        <v>2994.67</v>
      </c>
      <c r="H69" s="12">
        <f>IFERROR('Data Sheet'!G62,0)</f>
        <v>3043.7</v>
      </c>
      <c r="I69" s="12">
        <f>IFERROR('Data Sheet'!H62,0)</f>
        <v>3043.7</v>
      </c>
      <c r="J69" s="12">
        <f>IFERROR('Data Sheet'!I62,0)</f>
        <v>3460.25</v>
      </c>
      <c r="K69" s="12">
        <f>IFERROR('Data Sheet'!J62,0)</f>
        <v>5473.61</v>
      </c>
      <c r="L69" s="12">
        <f>IFERROR('Data Sheet'!K62,0)</f>
        <v>6290.42</v>
      </c>
      <c r="S69" s="130"/>
      <c r="T69" s="130"/>
    </row>
    <row r="70" spans="2:20" x14ac:dyDescent="0.3">
      <c r="B70" s="6" t="s">
        <v>37</v>
      </c>
      <c r="C70" s="12">
        <f>IFERROR('Data Sheet'!B63,0)</f>
        <v>94.16</v>
      </c>
      <c r="D70" s="12">
        <f>IFERROR('Data Sheet'!C63,0)</f>
        <v>105.2</v>
      </c>
      <c r="E70" s="12">
        <f>IFERROR('Data Sheet'!D63,0)</f>
        <v>143.30000000000001</v>
      </c>
      <c r="F70" s="12">
        <f>IFERROR('Data Sheet'!E63,0)</f>
        <v>638.58000000000004</v>
      </c>
      <c r="G70" s="12">
        <f>IFERROR('Data Sheet'!F63,0)</f>
        <v>246.23</v>
      </c>
      <c r="H70" s="12">
        <f>IFERROR('Data Sheet'!G63,0)</f>
        <v>358.36</v>
      </c>
      <c r="I70" s="12">
        <f>IFERROR('Data Sheet'!H63,0)</f>
        <v>358.36</v>
      </c>
      <c r="J70" s="12">
        <f>IFERROR('Data Sheet'!I63,0)</f>
        <v>1741.71</v>
      </c>
      <c r="K70" s="12">
        <f>IFERROR('Data Sheet'!J63,0)</f>
        <v>1172.56</v>
      </c>
      <c r="L70" s="12">
        <f>IFERROR('Data Sheet'!K63,0)</f>
        <v>506.98</v>
      </c>
      <c r="S70" s="130"/>
      <c r="T70" s="130"/>
    </row>
    <row r="71" spans="2:20" x14ac:dyDescent="0.3">
      <c r="B71" s="6" t="s">
        <v>38</v>
      </c>
      <c r="C71" s="12">
        <f>IFERROR('Data Sheet'!B64,0)</f>
        <v>1978.87</v>
      </c>
      <c r="D71" s="12">
        <f>IFERROR('Data Sheet'!C64,0)</f>
        <v>2658.49</v>
      </c>
      <c r="E71" s="12">
        <f>IFERROR('Data Sheet'!D64,0)</f>
        <v>1751.05</v>
      </c>
      <c r="F71" s="12">
        <f>IFERROR('Data Sheet'!E64,0)</f>
        <v>1463.77</v>
      </c>
      <c r="G71" s="12">
        <f>IFERROR('Data Sheet'!F64,0)</f>
        <v>773.98</v>
      </c>
      <c r="H71" s="12">
        <f>IFERROR('Data Sheet'!G64,0)</f>
        <v>777.54</v>
      </c>
      <c r="I71" s="12">
        <f>IFERROR('Data Sheet'!H64,0)</f>
        <v>777.54</v>
      </c>
      <c r="J71" s="12">
        <f>IFERROR('Data Sheet'!I64,0)</f>
        <v>463.87</v>
      </c>
      <c r="K71" s="12">
        <f>IFERROR('Data Sheet'!J64,0)</f>
        <v>705.6</v>
      </c>
      <c r="L71" s="247">
        <f>IFERROR('Data Sheet'!K64,0)</f>
        <v>705.6</v>
      </c>
      <c r="S71" s="130"/>
      <c r="T71" s="130"/>
    </row>
    <row r="72" spans="2:20" x14ac:dyDescent="0.3">
      <c r="B72" s="6" t="s">
        <v>39</v>
      </c>
      <c r="C72" s="12">
        <f>IFERROR('Data Sheet'!B65-SUM('Data Sheet'!B67:B69),0)</f>
        <v>224.51999999999998</v>
      </c>
      <c r="D72" s="12">
        <f>IFERROR('Data Sheet'!C65-SUM('Data Sheet'!C67:C69),0)</f>
        <v>223.57000000000016</v>
      </c>
      <c r="E72" s="12">
        <f>IFERROR('Data Sheet'!D65-SUM('Data Sheet'!D67:D69),0)</f>
        <v>221.69000000000005</v>
      </c>
      <c r="F72" s="12">
        <f>IFERROR('Data Sheet'!E65-SUM('Data Sheet'!E67:E69),0)</f>
        <v>266.69000000000005</v>
      </c>
      <c r="G72" s="12">
        <f>IFERROR('Data Sheet'!F65-SUM('Data Sheet'!F67:F69),0)</f>
        <v>1725.2199999999998</v>
      </c>
      <c r="H72" s="12">
        <f>IFERROR('Data Sheet'!G65-SUM('Data Sheet'!G67:G69),0)</f>
        <v>1732.9300000000003</v>
      </c>
      <c r="I72" s="12">
        <f>IFERROR('Data Sheet'!H65-SUM('Data Sheet'!H67:H69),0)</f>
        <v>1732.9300000000003</v>
      </c>
      <c r="J72" s="12">
        <f>IFERROR('Data Sheet'!I65-SUM('Data Sheet'!I67:I69),0)</f>
        <v>1688.5599999999995</v>
      </c>
      <c r="K72" s="12">
        <f>IFERROR('Data Sheet'!J65-SUM('Data Sheet'!J67:J69),0)</f>
        <v>1663.1799999999998</v>
      </c>
      <c r="L72" s="12">
        <f>IFERROR('Data Sheet'!K65-SUM('Data Sheet'!K67:K69),0)</f>
        <v>1614.6100000000006</v>
      </c>
      <c r="S72" s="130"/>
      <c r="T72" s="130"/>
    </row>
    <row r="73" spans="2:20" x14ac:dyDescent="0.3">
      <c r="B73" s="33" t="s">
        <v>86</v>
      </c>
      <c r="C73" s="34">
        <f>SUM(C69:C72)</f>
        <v>4913.7299999999996</v>
      </c>
      <c r="D73" s="34">
        <f>SUM(D69:D72)</f>
        <v>5387.8799999999992</v>
      </c>
      <c r="E73" s="34">
        <f t="shared" ref="E73:L73" si="22">SUM(E69:E72)</f>
        <v>4457.49</v>
      </c>
      <c r="F73" s="34">
        <f t="shared" si="22"/>
        <v>4548.4500000000007</v>
      </c>
      <c r="G73" s="34">
        <f t="shared" si="22"/>
        <v>5740.1</v>
      </c>
      <c r="H73" s="34">
        <f t="shared" si="22"/>
        <v>5912.5300000000007</v>
      </c>
      <c r="I73" s="34">
        <f t="shared" si="22"/>
        <v>5912.5300000000007</v>
      </c>
      <c r="J73" s="34">
        <f t="shared" si="22"/>
        <v>7354.3899999999994</v>
      </c>
      <c r="K73" s="34">
        <f t="shared" si="22"/>
        <v>9014.9500000000007</v>
      </c>
      <c r="L73" s="34">
        <f t="shared" si="22"/>
        <v>9117.61</v>
      </c>
      <c r="S73" s="130"/>
      <c r="T73" s="130"/>
    </row>
    <row r="74" spans="2:20" x14ac:dyDescent="0.3">
      <c r="S74" s="130"/>
      <c r="T74" s="130"/>
    </row>
    <row r="75" spans="2:20" x14ac:dyDescent="0.3">
      <c r="B75" s="6" t="s">
        <v>40</v>
      </c>
      <c r="C75" s="12">
        <f>IFERROR('Data Sheet'!B67,0)</f>
        <v>88.97</v>
      </c>
      <c r="D75" s="12">
        <f>IFERROR('Data Sheet'!C67,0)</f>
        <v>124.59</v>
      </c>
      <c r="E75" s="12">
        <f>IFERROR('Data Sheet'!D67,0)</f>
        <v>124.33</v>
      </c>
      <c r="F75" s="12">
        <f>IFERROR('Data Sheet'!E67,0)</f>
        <v>164.93</v>
      </c>
      <c r="G75" s="12">
        <f>IFERROR('Data Sheet'!F67,0)</f>
        <v>165.97</v>
      </c>
      <c r="H75" s="12">
        <f>IFERROR('Data Sheet'!G67,0)</f>
        <v>191.89</v>
      </c>
      <c r="I75" s="12">
        <f>IFERROR('Data Sheet'!H67,0)</f>
        <v>191.89</v>
      </c>
      <c r="J75" s="12">
        <f>IFERROR('Data Sheet'!I67,0)</f>
        <v>300.45999999999998</v>
      </c>
      <c r="K75" s="12">
        <f>IFERROR('Data Sheet'!J67,0)</f>
        <v>363.15</v>
      </c>
      <c r="L75" s="12">
        <f>IFERROR('Data Sheet'!K67,0)</f>
        <v>329.47</v>
      </c>
      <c r="S75" s="130"/>
      <c r="T75" s="130"/>
    </row>
    <row r="76" spans="2:20" x14ac:dyDescent="0.3">
      <c r="B76" s="6" t="s">
        <v>41</v>
      </c>
      <c r="C76" s="12">
        <f>IFERROR('Data Sheet'!B68,0)</f>
        <v>902.47</v>
      </c>
      <c r="D76" s="12">
        <f>IFERROR('Data Sheet'!C68,0)</f>
        <v>965.55</v>
      </c>
      <c r="E76" s="12">
        <f>IFERROR('Data Sheet'!D68,0)</f>
        <v>1283.07</v>
      </c>
      <c r="F76" s="12">
        <f>IFERROR('Data Sheet'!E68,0)</f>
        <v>1416.48</v>
      </c>
      <c r="G76" s="12">
        <f>IFERROR('Data Sheet'!F68,0)</f>
        <v>1592.65</v>
      </c>
      <c r="H76" s="12">
        <f>IFERROR('Data Sheet'!G68,0)</f>
        <v>1928.77</v>
      </c>
      <c r="I76" s="12">
        <f>IFERROR('Data Sheet'!H68,0)</f>
        <v>1928.77</v>
      </c>
      <c r="J76" s="12">
        <f>IFERROR('Data Sheet'!I68,0)</f>
        <v>2089.36</v>
      </c>
      <c r="K76" s="12">
        <f>IFERROR('Data Sheet'!J68,0)</f>
        <v>2850.14</v>
      </c>
      <c r="L76" s="12">
        <f>IFERROR('Data Sheet'!K68,0)</f>
        <v>2569.2199999999998</v>
      </c>
      <c r="S76" s="130"/>
      <c r="T76" s="130"/>
    </row>
    <row r="77" spans="2:20" x14ac:dyDescent="0.3">
      <c r="B77" s="2" t="s">
        <v>42</v>
      </c>
      <c r="C77" s="12">
        <f>IFERROR('Data Sheet'!B69,0)</f>
        <v>1457.42</v>
      </c>
      <c r="D77" s="12">
        <f>IFERROR('Data Sheet'!C69,0)</f>
        <v>1610.06</v>
      </c>
      <c r="E77" s="12">
        <f>IFERROR('Data Sheet'!D69,0)</f>
        <v>1308.05</v>
      </c>
      <c r="F77" s="12">
        <f>IFERROR('Data Sheet'!E69,0)</f>
        <v>1769.87</v>
      </c>
      <c r="G77" s="12">
        <f>IFERROR('Data Sheet'!F69,0)</f>
        <v>735.41</v>
      </c>
      <c r="H77" s="12">
        <f>IFERROR('Data Sheet'!G69,0)</f>
        <v>945.55</v>
      </c>
      <c r="I77" s="12">
        <f>IFERROR('Data Sheet'!H69,0)</f>
        <v>945.55</v>
      </c>
      <c r="J77" s="12">
        <f>IFERROR('Data Sheet'!I69,0)</f>
        <v>778.85</v>
      </c>
      <c r="K77" s="12">
        <f>IFERROR('Data Sheet'!J69,0)</f>
        <v>95.65</v>
      </c>
      <c r="L77" s="12">
        <f>IFERROR('Data Sheet'!K69,0)</f>
        <v>1340.87</v>
      </c>
    </row>
    <row r="78" spans="2:20" x14ac:dyDescent="0.3">
      <c r="B78" s="32" t="s">
        <v>85</v>
      </c>
      <c r="C78" s="29">
        <f>SUM(C75:C77)</f>
        <v>2448.86</v>
      </c>
      <c r="D78" s="29">
        <f t="shared" ref="D78:L78" si="23">SUM(D75:D77)</f>
        <v>2700.2</v>
      </c>
      <c r="E78" s="29">
        <f t="shared" si="23"/>
        <v>2715.45</v>
      </c>
      <c r="F78" s="29">
        <f t="shared" si="23"/>
        <v>3351.2799999999997</v>
      </c>
      <c r="G78" s="29">
        <f t="shared" si="23"/>
        <v>2494.0300000000002</v>
      </c>
      <c r="H78" s="29">
        <f t="shared" si="23"/>
        <v>3066.21</v>
      </c>
      <c r="I78" s="29">
        <f t="shared" si="23"/>
        <v>3066.21</v>
      </c>
      <c r="J78" s="29">
        <f t="shared" si="23"/>
        <v>3168.67</v>
      </c>
      <c r="K78" s="29">
        <f t="shared" si="23"/>
        <v>3308.94</v>
      </c>
      <c r="L78" s="29">
        <f t="shared" si="23"/>
        <v>4239.5599999999995</v>
      </c>
      <c r="S78" s="130"/>
      <c r="T78" s="130"/>
    </row>
    <row r="79" spans="2:20" x14ac:dyDescent="0.3">
      <c r="S79" s="130"/>
      <c r="T79" s="130"/>
    </row>
    <row r="80" spans="2:20" x14ac:dyDescent="0.3">
      <c r="B80" s="35" t="s">
        <v>83</v>
      </c>
      <c r="C80" s="34">
        <f>C73+C78</f>
        <v>7362.59</v>
      </c>
      <c r="D80" s="34">
        <f t="shared" ref="D80:L80" si="24">D73+D78</f>
        <v>8088.079999999999</v>
      </c>
      <c r="E80" s="34">
        <f t="shared" si="24"/>
        <v>7172.94</v>
      </c>
      <c r="F80" s="34">
        <f t="shared" si="24"/>
        <v>7899.7300000000005</v>
      </c>
      <c r="G80" s="34">
        <f t="shared" si="24"/>
        <v>8234.130000000001</v>
      </c>
      <c r="H80" s="34">
        <f t="shared" si="24"/>
        <v>8978.7400000000016</v>
      </c>
      <c r="I80" s="34">
        <f t="shared" si="24"/>
        <v>8978.7400000000016</v>
      </c>
      <c r="J80" s="34">
        <f t="shared" si="24"/>
        <v>10523.06</v>
      </c>
      <c r="K80" s="34">
        <f t="shared" si="24"/>
        <v>12323.890000000001</v>
      </c>
      <c r="L80" s="34">
        <f t="shared" si="24"/>
        <v>13357.17</v>
      </c>
      <c r="S80" s="130"/>
      <c r="T80" s="130"/>
    </row>
    <row r="81" spans="1:20" x14ac:dyDescent="0.3">
      <c r="S81" s="130"/>
      <c r="T81" s="130"/>
    </row>
    <row r="82" spans="1:20" x14ac:dyDescent="0.3">
      <c r="B82" t="s">
        <v>87</v>
      </c>
      <c r="C82" t="b">
        <f>C80=C67</f>
        <v>1</v>
      </c>
      <c r="D82" t="b">
        <f t="shared" ref="D82:L82" si="25">D80=D67</f>
        <v>1</v>
      </c>
      <c r="E82" t="b">
        <f t="shared" si="25"/>
        <v>1</v>
      </c>
      <c r="F82" t="b">
        <f t="shared" si="25"/>
        <v>1</v>
      </c>
      <c r="G82" t="b">
        <f t="shared" si="25"/>
        <v>1</v>
      </c>
      <c r="H82" t="b">
        <f t="shared" si="25"/>
        <v>1</v>
      </c>
      <c r="I82" t="b">
        <f t="shared" si="25"/>
        <v>1</v>
      </c>
      <c r="J82" t="b">
        <f t="shared" si="25"/>
        <v>1</v>
      </c>
      <c r="K82" t="b">
        <f t="shared" si="25"/>
        <v>1</v>
      </c>
      <c r="L82" t="b">
        <f t="shared" si="25"/>
        <v>1</v>
      </c>
      <c r="S82" s="130"/>
      <c r="T82" s="130"/>
    </row>
    <row r="83" spans="1:20" x14ac:dyDescent="0.3">
      <c r="C83" s="36" t="str">
        <f>IF(C80=C67, "OK", "Error")</f>
        <v>OK</v>
      </c>
      <c r="D83" s="36" t="str">
        <f>IF(D80=D67, "OK", "Error")</f>
        <v>OK</v>
      </c>
      <c r="E83" s="36" t="str">
        <f t="shared" ref="E83:L83" si="26">IF(E80=E67, "OK", "Error")</f>
        <v>OK</v>
      </c>
      <c r="F83" s="36" t="str">
        <f t="shared" si="26"/>
        <v>OK</v>
      </c>
      <c r="G83" s="36" t="str">
        <f t="shared" si="26"/>
        <v>OK</v>
      </c>
      <c r="H83" s="36" t="str">
        <f t="shared" si="26"/>
        <v>OK</v>
      </c>
      <c r="I83" s="36" t="str">
        <f t="shared" si="26"/>
        <v>OK</v>
      </c>
      <c r="J83" s="36" t="str">
        <f t="shared" si="26"/>
        <v>OK</v>
      </c>
      <c r="K83" s="36" t="str">
        <f t="shared" si="26"/>
        <v>OK</v>
      </c>
      <c r="L83" s="36" t="str">
        <f t="shared" si="26"/>
        <v>OK</v>
      </c>
      <c r="S83" s="130"/>
      <c r="T83" s="130"/>
    </row>
    <row r="84" spans="1:20" x14ac:dyDescent="0.3">
      <c r="S84" s="130"/>
      <c r="T84" s="130"/>
    </row>
    <row r="85" spans="1:20" ht="18" x14ac:dyDescent="0.35">
      <c r="A85" t="s">
        <v>55</v>
      </c>
      <c r="B85" s="31" t="s">
        <v>88</v>
      </c>
      <c r="C85" s="25"/>
      <c r="D85" s="25"/>
      <c r="E85" s="25"/>
      <c r="F85" s="25"/>
      <c r="G85" s="25"/>
      <c r="H85" s="25"/>
      <c r="I85" s="25"/>
      <c r="J85" s="25"/>
      <c r="K85" s="25"/>
      <c r="L85" s="25"/>
      <c r="S85" s="130"/>
      <c r="T85" s="130"/>
    </row>
    <row r="86" spans="1:20" x14ac:dyDescent="0.3">
      <c r="S86" s="130"/>
      <c r="T86" s="130"/>
    </row>
    <row r="87" spans="1:20" x14ac:dyDescent="0.3">
      <c r="B87" t="s">
        <v>116</v>
      </c>
      <c r="C87" s="12"/>
      <c r="D87" s="12"/>
      <c r="E87" s="12"/>
      <c r="F87" s="12"/>
      <c r="G87" s="12"/>
      <c r="H87" s="12"/>
      <c r="I87" s="12"/>
      <c r="J87" s="12"/>
      <c r="K87" s="12"/>
      <c r="L87" s="12"/>
    </row>
    <row r="88" spans="1:20" x14ac:dyDescent="0.3">
      <c r="B88" t="s">
        <v>90</v>
      </c>
      <c r="C88" s="182">
        <f>IFERROR('Cash Flow Data'!D4,0)</f>
        <v>1765</v>
      </c>
      <c r="D88" s="182">
        <f>IFERROR('Cash Flow Data'!E4,0)</f>
        <v>2047</v>
      </c>
      <c r="E88" s="182">
        <f>IFERROR('Cash Flow Data'!F4,0)</f>
        <v>2521</v>
      </c>
      <c r="F88" s="182">
        <f>IFERROR('Cash Flow Data'!G4,0)</f>
        <v>2805</v>
      </c>
      <c r="G88" s="182">
        <f>IFERROR('Cash Flow Data'!H4,0)</f>
        <v>3061</v>
      </c>
      <c r="H88" s="182">
        <f>IFERROR('Cash Flow Data'!I4,0)</f>
        <v>3136</v>
      </c>
      <c r="I88" s="182">
        <f>IFERROR('Cash Flow Data'!J4,0)</f>
        <v>3609</v>
      </c>
      <c r="J88" s="182">
        <f>IFERROR('Cash Flow Data'!K4,0)</f>
        <v>4388</v>
      </c>
      <c r="K88" s="182">
        <f>IFERROR('Cash Flow Data'!L4,0)</f>
        <v>5722</v>
      </c>
      <c r="L88" s="182">
        <f>IFERROR('Cash Flow Data'!M4,0)</f>
        <v>4672</v>
      </c>
      <c r="M88" s="182"/>
      <c r="N88" s="182"/>
      <c r="O88" s="182"/>
    </row>
    <row r="89" spans="1:20" x14ac:dyDescent="0.3">
      <c r="B89" t="s">
        <v>40</v>
      </c>
      <c r="C89" s="182">
        <f>IFERROR('Cash Flow Data'!D5,0)</f>
        <v>-19</v>
      </c>
      <c r="D89" s="182">
        <f>IFERROR('Cash Flow Data'!E5,0)</f>
        <v>8</v>
      </c>
      <c r="E89" s="182">
        <f>IFERROR('Cash Flow Data'!F5,0)</f>
        <v>-36</v>
      </c>
      <c r="F89" s="182">
        <f>IFERROR('Cash Flow Data'!G5,0)</f>
        <v>0</v>
      </c>
      <c r="G89" s="182">
        <f>IFERROR('Cash Flow Data'!H5,0)</f>
        <v>-42</v>
      </c>
      <c r="H89" s="182">
        <f>IFERROR('Cash Flow Data'!I5,0)</f>
        <v>-2</v>
      </c>
      <c r="I89" s="182">
        <f>IFERROR('Cash Flow Data'!J5,0)</f>
        <v>-28</v>
      </c>
      <c r="J89" s="182">
        <f>IFERROR('Cash Flow Data'!K5,0)</f>
        <v>-11</v>
      </c>
      <c r="K89" s="182">
        <f>IFERROR('Cash Flow Data'!L5,0)</f>
        <v>-109</v>
      </c>
      <c r="L89" s="182">
        <f>IFERROR('Cash Flow Data'!M5,0)</f>
        <v>-70</v>
      </c>
      <c r="M89" s="182"/>
      <c r="N89" s="182"/>
      <c r="O89" s="182"/>
    </row>
    <row r="90" spans="1:20" x14ac:dyDescent="0.3">
      <c r="B90" t="s">
        <v>41</v>
      </c>
      <c r="C90" s="182">
        <f>IFERROR('Cash Flow Data'!D6,0)</f>
        <v>-119</v>
      </c>
      <c r="D90" s="182">
        <f>IFERROR('Cash Flow Data'!E6,0)</f>
        <v>38</v>
      </c>
      <c r="E90" s="182">
        <f>IFERROR('Cash Flow Data'!F6,0)</f>
        <v>-63</v>
      </c>
      <c r="F90" s="182">
        <f>IFERROR('Cash Flow Data'!G6,0)</f>
        <v>-318</v>
      </c>
      <c r="G90" s="182">
        <f>IFERROR('Cash Flow Data'!H6,0)</f>
        <v>-133</v>
      </c>
      <c r="H90" s="182">
        <f>IFERROR('Cash Flow Data'!I6,0)</f>
        <v>-169</v>
      </c>
      <c r="I90" s="182">
        <f>IFERROR('Cash Flow Data'!J6,0)</f>
        <v>-336</v>
      </c>
      <c r="J90" s="182">
        <f>IFERROR('Cash Flow Data'!K6,0)</f>
        <v>56</v>
      </c>
      <c r="K90" s="182">
        <f>IFERROR('Cash Flow Data'!L6,0)</f>
        <v>-161</v>
      </c>
      <c r="L90" s="182">
        <f>IFERROR('Cash Flow Data'!M6,0)</f>
        <v>-767</v>
      </c>
      <c r="M90" s="182"/>
      <c r="N90" s="182"/>
      <c r="O90" s="182"/>
      <c r="T90" s="22"/>
    </row>
    <row r="91" spans="1:20" x14ac:dyDescent="0.3">
      <c r="B91" t="s">
        <v>91</v>
      </c>
      <c r="C91" s="182">
        <f>IFERROR('Cash Flow Data'!D7,0)</f>
        <v>50</v>
      </c>
      <c r="D91" s="182">
        <f>IFERROR('Cash Flow Data'!E7,0)</f>
        <v>185</v>
      </c>
      <c r="E91" s="182">
        <f>IFERROR('Cash Flow Data'!F7,0)</f>
        <v>257</v>
      </c>
      <c r="F91" s="182">
        <f>IFERROR('Cash Flow Data'!G7,0)</f>
        <v>253</v>
      </c>
      <c r="G91" s="182">
        <f>IFERROR('Cash Flow Data'!H7,0)</f>
        <v>23</v>
      </c>
      <c r="H91" s="182">
        <f>IFERROR('Cash Flow Data'!I7,0)</f>
        <v>217</v>
      </c>
      <c r="I91" s="182">
        <f>IFERROR('Cash Flow Data'!J7,0)</f>
        <v>178</v>
      </c>
      <c r="J91" s="182">
        <f>IFERROR('Cash Flow Data'!K7,0)</f>
        <v>68</v>
      </c>
      <c r="K91" s="182">
        <f>IFERROR('Cash Flow Data'!L7,0)</f>
        <v>310</v>
      </c>
      <c r="L91" s="182">
        <f>IFERROR('Cash Flow Data'!M7,0)</f>
        <v>134</v>
      </c>
      <c r="M91" s="182"/>
      <c r="N91" s="182"/>
      <c r="O91" s="182"/>
      <c r="T91" s="22"/>
    </row>
    <row r="92" spans="1:20" x14ac:dyDescent="0.3">
      <c r="B92" t="s">
        <v>92</v>
      </c>
      <c r="C92" s="182">
        <f>IFERROR('Cash Flow Data'!D8,0)</f>
        <v>0</v>
      </c>
      <c r="D92" s="182">
        <f>IFERROR('Cash Flow Data'!E8,0)</f>
        <v>0</v>
      </c>
      <c r="E92" s="182">
        <f>IFERROR('Cash Flow Data'!F8,0)</f>
        <v>0</v>
      </c>
      <c r="F92" s="182">
        <f>IFERROR('Cash Flow Data'!G8,0)</f>
        <v>0</v>
      </c>
      <c r="G92" s="182">
        <f>IFERROR('Cash Flow Data'!H8,0)</f>
        <v>0</v>
      </c>
      <c r="H92" s="182">
        <f>IFERROR('Cash Flow Data'!I8,0)</f>
        <v>-40</v>
      </c>
      <c r="I92" s="182">
        <f>IFERROR('Cash Flow Data'!J8,0)</f>
        <v>-30</v>
      </c>
      <c r="J92" s="182">
        <f>IFERROR('Cash Flow Data'!K8,0)</f>
        <v>-30</v>
      </c>
      <c r="K92" s="182">
        <f>IFERROR('Cash Flow Data'!L8,0)</f>
        <v>-21</v>
      </c>
      <c r="L92" s="182">
        <f>IFERROR('Cash Flow Data'!M8,0)</f>
        <v>-199</v>
      </c>
      <c r="M92" s="182"/>
      <c r="N92" s="182"/>
      <c r="O92" s="182"/>
      <c r="T92" s="22"/>
    </row>
    <row r="93" spans="1:20" x14ac:dyDescent="0.3">
      <c r="B93" t="s">
        <v>93</v>
      </c>
      <c r="C93" s="182">
        <f>IFERROR('Cash Flow Data'!D9,0)</f>
        <v>0</v>
      </c>
      <c r="D93" s="182">
        <f>IFERROR('Cash Flow Data'!E9,0)</f>
        <v>0</v>
      </c>
      <c r="E93" s="182">
        <f>IFERROR('Cash Flow Data'!F9,0)</f>
        <v>0</v>
      </c>
      <c r="F93" s="182">
        <f>IFERROR('Cash Flow Data'!G9,0)</f>
        <v>0</v>
      </c>
      <c r="G93" s="182">
        <f>IFERROR('Cash Flow Data'!H9,0)</f>
        <v>0</v>
      </c>
      <c r="H93" s="182">
        <f>IFERROR('Cash Flow Data'!I9,0)</f>
        <v>0</v>
      </c>
      <c r="I93" s="182">
        <f>IFERROR('Cash Flow Data'!J9,0)</f>
        <v>0</v>
      </c>
      <c r="J93" s="182">
        <f>IFERROR('Cash Flow Data'!K9,0)</f>
        <v>0</v>
      </c>
      <c r="K93" s="182">
        <f>IFERROR('Cash Flow Data'!L9,0)</f>
        <v>0</v>
      </c>
      <c r="L93" s="182">
        <f>IFERROR('Cash Flow Data'!M9,0)</f>
        <v>0</v>
      </c>
      <c r="M93" s="182"/>
      <c r="N93" s="182"/>
      <c r="O93" s="182"/>
    </row>
    <row r="94" spans="1:20" x14ac:dyDescent="0.3">
      <c r="B94" t="s">
        <v>94</v>
      </c>
      <c r="C94" s="182">
        <f>IFERROR('Cash Flow Data'!D10,0)</f>
        <v>293</v>
      </c>
      <c r="D94" s="182">
        <f>IFERROR('Cash Flow Data'!E10,0)</f>
        <v>144</v>
      </c>
      <c r="E94" s="182">
        <f>IFERROR('Cash Flow Data'!F10,0)</f>
        <v>255</v>
      </c>
      <c r="F94" s="182">
        <f>IFERROR('Cash Flow Data'!G10,0)</f>
        <v>227</v>
      </c>
      <c r="G94" s="182">
        <f>IFERROR('Cash Flow Data'!H10,0)</f>
        <v>249</v>
      </c>
      <c r="H94" s="182">
        <f>IFERROR('Cash Flow Data'!I10,0)</f>
        <v>-179</v>
      </c>
      <c r="I94" s="182">
        <f>IFERROR('Cash Flow Data'!J10,0)</f>
        <v>185</v>
      </c>
      <c r="J94" s="182">
        <f>IFERROR('Cash Flow Data'!K10,0)</f>
        <v>-19</v>
      </c>
      <c r="K94" s="182">
        <f>IFERROR('Cash Flow Data'!L10,0)</f>
        <v>-268</v>
      </c>
      <c r="L94" s="182">
        <f>IFERROR('Cash Flow Data'!M10,0)</f>
        <v>155</v>
      </c>
      <c r="M94" s="182"/>
      <c r="N94" s="182"/>
      <c r="O94" s="182"/>
    </row>
    <row r="95" spans="1:20" x14ac:dyDescent="0.3">
      <c r="B95" t="s">
        <v>96</v>
      </c>
      <c r="C95" s="182">
        <f>IFERROR('Cash Flow Data'!D11,0)</f>
        <v>204</v>
      </c>
      <c r="D95" s="182">
        <f>IFERROR('Cash Flow Data'!E11,0)</f>
        <v>375</v>
      </c>
      <c r="E95" s="182">
        <f>IFERROR('Cash Flow Data'!F11,0)</f>
        <v>413</v>
      </c>
      <c r="F95" s="182">
        <f>IFERROR('Cash Flow Data'!G11,0)</f>
        <v>163</v>
      </c>
      <c r="G95" s="182">
        <f>IFERROR('Cash Flow Data'!H11,0)</f>
        <v>97</v>
      </c>
      <c r="H95" s="182">
        <f>IFERROR('Cash Flow Data'!I11,0)</f>
        <v>-172</v>
      </c>
      <c r="I95" s="182">
        <f>IFERROR('Cash Flow Data'!J11,0)</f>
        <v>-30</v>
      </c>
      <c r="J95" s="182">
        <f>IFERROR('Cash Flow Data'!K11,0)</f>
        <v>63</v>
      </c>
      <c r="K95" s="182">
        <f>IFERROR('Cash Flow Data'!L11,0)</f>
        <v>-249</v>
      </c>
      <c r="L95" s="182">
        <f>IFERROR('Cash Flow Data'!M11,0)</f>
        <v>-747</v>
      </c>
      <c r="M95" s="182"/>
      <c r="N95" s="182"/>
      <c r="O95" s="182"/>
    </row>
    <row r="96" spans="1:20" x14ac:dyDescent="0.3">
      <c r="B96" s="57" t="s">
        <v>117</v>
      </c>
      <c r="C96" s="183">
        <f>SUM(C87:C95)</f>
        <v>2174</v>
      </c>
      <c r="D96" s="183">
        <f t="shared" ref="D96:L96" si="27">SUM(D87:D95)</f>
        <v>2797</v>
      </c>
      <c r="E96" s="183">
        <f t="shared" si="27"/>
        <v>3347</v>
      </c>
      <c r="F96" s="183">
        <f t="shared" si="27"/>
        <v>3130</v>
      </c>
      <c r="G96" s="183">
        <f t="shared" si="27"/>
        <v>3255</v>
      </c>
      <c r="H96" s="183">
        <f t="shared" si="27"/>
        <v>2791</v>
      </c>
      <c r="I96" s="183">
        <f t="shared" si="27"/>
        <v>3548</v>
      </c>
      <c r="J96" s="183">
        <f t="shared" si="27"/>
        <v>4515</v>
      </c>
      <c r="K96" s="183">
        <f t="shared" si="27"/>
        <v>5224</v>
      </c>
      <c r="L96" s="183">
        <f t="shared" si="27"/>
        <v>3178</v>
      </c>
      <c r="M96" s="182"/>
      <c r="N96" s="182"/>
      <c r="O96" s="182"/>
    </row>
    <row r="97" spans="2:15" x14ac:dyDescent="0.3">
      <c r="C97" s="182"/>
      <c r="D97" s="182"/>
      <c r="E97" s="182"/>
      <c r="F97" s="182"/>
      <c r="G97" s="182"/>
      <c r="H97" s="182"/>
      <c r="I97" s="182"/>
      <c r="J97" s="182"/>
      <c r="K97" s="182"/>
      <c r="L97" s="182"/>
      <c r="M97" s="182"/>
      <c r="N97" s="182"/>
      <c r="O97" s="182"/>
    </row>
    <row r="98" spans="2:15" x14ac:dyDescent="0.3">
      <c r="B98" t="s">
        <v>118</v>
      </c>
      <c r="C98" s="182"/>
      <c r="D98" s="182"/>
      <c r="E98" s="182"/>
      <c r="F98" s="182"/>
      <c r="G98" s="182"/>
      <c r="H98" s="182"/>
      <c r="I98" s="182"/>
      <c r="J98" s="182"/>
      <c r="K98" s="182"/>
      <c r="L98" s="182"/>
      <c r="M98" s="182"/>
      <c r="N98" s="182"/>
      <c r="O98" s="182"/>
    </row>
    <row r="99" spans="2:15" x14ac:dyDescent="0.3">
      <c r="B99" t="s">
        <v>98</v>
      </c>
      <c r="C99" s="182">
        <f>IFERROR('Cash Flow Data'!D14,0)</f>
        <v>-207</v>
      </c>
      <c r="D99" s="182">
        <f>IFERROR('Cash Flow Data'!E14,0)</f>
        <v>-199</v>
      </c>
      <c r="E99" s="182">
        <f>IFERROR('Cash Flow Data'!F14,0)</f>
        <v>-166</v>
      </c>
      <c r="F99" s="182">
        <f>IFERROR('Cash Flow Data'!G14,0)</f>
        <v>-155</v>
      </c>
      <c r="G99" s="182">
        <f>IFERROR('Cash Flow Data'!H14,0)</f>
        <v>-478</v>
      </c>
      <c r="H99" s="182">
        <f>IFERROR('Cash Flow Data'!I14,0)</f>
        <v>-735</v>
      </c>
      <c r="I99" s="182">
        <f>IFERROR('Cash Flow Data'!J14,0)</f>
        <v>-550</v>
      </c>
      <c r="J99" s="182">
        <f>IFERROR('Cash Flow Data'!K14,0)</f>
        <v>-1371</v>
      </c>
      <c r="K99" s="182">
        <f>IFERROR('Cash Flow Data'!L14,0)</f>
        <v>-1883</v>
      </c>
      <c r="L99" s="182">
        <f>IFERROR('Cash Flow Data'!M14,0)</f>
        <v>-2009</v>
      </c>
      <c r="M99" s="182"/>
      <c r="N99" s="182"/>
      <c r="O99" s="182"/>
    </row>
    <row r="100" spans="2:15" x14ac:dyDescent="0.3">
      <c r="B100" t="s">
        <v>99</v>
      </c>
      <c r="C100" s="182">
        <f>IFERROR('Cash Flow Data'!D15,0)</f>
        <v>94</v>
      </c>
      <c r="D100" s="182">
        <f>IFERROR('Cash Flow Data'!E15,0)</f>
        <v>3</v>
      </c>
      <c r="E100" s="182">
        <f>IFERROR('Cash Flow Data'!F15,0)</f>
        <v>3</v>
      </c>
      <c r="F100" s="182">
        <f>IFERROR('Cash Flow Data'!G15,0)</f>
        <v>2</v>
      </c>
      <c r="G100" s="182">
        <f>IFERROR('Cash Flow Data'!H15,0)</f>
        <v>4</v>
      </c>
      <c r="H100" s="182">
        <f>IFERROR('Cash Flow Data'!I15,0)</f>
        <v>4</v>
      </c>
      <c r="I100" s="182">
        <f>IFERROR('Cash Flow Data'!J15,0)</f>
        <v>9</v>
      </c>
      <c r="J100" s="182">
        <f>IFERROR('Cash Flow Data'!K15,0)</f>
        <v>7</v>
      </c>
      <c r="K100" s="182">
        <f>IFERROR('Cash Flow Data'!L15,0)</f>
        <v>4</v>
      </c>
      <c r="L100" s="182">
        <f>IFERROR('Cash Flow Data'!M15,0)</f>
        <v>4</v>
      </c>
      <c r="M100" s="182"/>
      <c r="N100" s="182"/>
      <c r="O100" s="182"/>
    </row>
    <row r="101" spans="2:15" x14ac:dyDescent="0.3">
      <c r="B101" t="s">
        <v>100</v>
      </c>
      <c r="C101" s="182">
        <f>IFERROR('Cash Flow Data'!D16,0)</f>
        <v>-153</v>
      </c>
      <c r="D101" s="182">
        <f>IFERROR('Cash Flow Data'!E16,0)</f>
        <v>-112</v>
      </c>
      <c r="E101" s="182">
        <f>IFERROR('Cash Flow Data'!F16,0)</f>
        <v>-160</v>
      </c>
      <c r="F101" s="182">
        <f>IFERROR('Cash Flow Data'!G16,0)</f>
        <v>-16</v>
      </c>
      <c r="G101" s="182">
        <f>IFERROR('Cash Flow Data'!H16,0)</f>
        <v>0</v>
      </c>
      <c r="H101" s="182">
        <f>IFERROR('Cash Flow Data'!I16,0)</f>
        <v>0</v>
      </c>
      <c r="I101" s="182">
        <f>IFERROR('Cash Flow Data'!J16,0)</f>
        <v>0</v>
      </c>
      <c r="J101" s="182">
        <f>IFERROR('Cash Flow Data'!K16,0)</f>
        <v>0</v>
      </c>
      <c r="K101" s="182">
        <f>IFERROR('Cash Flow Data'!L16,0)</f>
        <v>0</v>
      </c>
      <c r="L101" s="182">
        <f>IFERROR('Cash Flow Data'!M16,0)</f>
        <v>0</v>
      </c>
      <c r="M101" s="182"/>
      <c r="N101" s="182"/>
      <c r="O101" s="182"/>
    </row>
    <row r="102" spans="2:15" x14ac:dyDescent="0.3">
      <c r="B102" t="s">
        <v>101</v>
      </c>
      <c r="C102" s="182">
        <f>IFERROR('Cash Flow Data'!D17,0)</f>
        <v>0</v>
      </c>
      <c r="D102" s="182">
        <f>IFERROR('Cash Flow Data'!E17,0)</f>
        <v>0</v>
      </c>
      <c r="E102" s="182">
        <f>IFERROR('Cash Flow Data'!F17,0)</f>
        <v>0</v>
      </c>
      <c r="F102" s="182">
        <f>IFERROR('Cash Flow Data'!G17,0)</f>
        <v>0</v>
      </c>
      <c r="G102" s="182">
        <f>IFERROR('Cash Flow Data'!H17,0)</f>
        <v>0</v>
      </c>
      <c r="H102" s="182">
        <f>IFERROR('Cash Flow Data'!I17,0)</f>
        <v>0</v>
      </c>
      <c r="I102" s="182">
        <f>IFERROR('Cash Flow Data'!J17,0)</f>
        <v>25</v>
      </c>
      <c r="J102" s="182">
        <f>IFERROR('Cash Flow Data'!K17,0)</f>
        <v>312</v>
      </c>
      <c r="K102" s="182">
        <f>IFERROR('Cash Flow Data'!L17,0)</f>
        <v>284</v>
      </c>
      <c r="L102" s="182">
        <f>IFERROR('Cash Flow Data'!M17,0)</f>
        <v>424</v>
      </c>
      <c r="M102" s="182"/>
      <c r="N102" s="182"/>
      <c r="O102" s="182"/>
    </row>
    <row r="103" spans="2:15" x14ac:dyDescent="0.3">
      <c r="B103" t="s">
        <v>102</v>
      </c>
      <c r="C103" s="182">
        <f>IFERROR('Cash Flow Data'!D18,0)</f>
        <v>126</v>
      </c>
      <c r="D103" s="182">
        <f>IFERROR('Cash Flow Data'!E18,0)</f>
        <v>154</v>
      </c>
      <c r="E103" s="182">
        <f>IFERROR('Cash Flow Data'!F18,0)</f>
        <v>237</v>
      </c>
      <c r="F103" s="182">
        <f>IFERROR('Cash Flow Data'!G18,0)</f>
        <v>238</v>
      </c>
      <c r="G103" s="182">
        <f>IFERROR('Cash Flow Data'!H18,0)</f>
        <v>148</v>
      </c>
      <c r="H103" s="182">
        <f>IFERROR('Cash Flow Data'!I18,0)</f>
        <v>125</v>
      </c>
      <c r="I103" s="182">
        <f>IFERROR('Cash Flow Data'!J18,0)</f>
        <v>103</v>
      </c>
      <c r="J103" s="182">
        <f>IFERROR('Cash Flow Data'!K18,0)</f>
        <v>0</v>
      </c>
      <c r="K103" s="182">
        <f>IFERROR('Cash Flow Data'!L18,0)</f>
        <v>167</v>
      </c>
      <c r="L103" s="182">
        <f>IFERROR('Cash Flow Data'!M18,0)</f>
        <v>76</v>
      </c>
      <c r="M103" s="182"/>
      <c r="N103" s="182"/>
      <c r="O103" s="182"/>
    </row>
    <row r="104" spans="2:15" x14ac:dyDescent="0.3">
      <c r="B104" t="s">
        <v>103</v>
      </c>
      <c r="C104" s="182">
        <f>IFERROR('Cash Flow Data'!D19,0)</f>
        <v>13</v>
      </c>
      <c r="D104" s="182">
        <f>IFERROR('Cash Flow Data'!E19,0)</f>
        <v>16</v>
      </c>
      <c r="E104" s="182">
        <f>IFERROR('Cash Flow Data'!F19,0)</f>
        <v>19</v>
      </c>
      <c r="F104" s="182">
        <f>IFERROR('Cash Flow Data'!G19,0)</f>
        <v>13</v>
      </c>
      <c r="G104" s="182">
        <f>IFERROR('Cash Flow Data'!H19,0)</f>
        <v>2</v>
      </c>
      <c r="H104" s="182">
        <f>IFERROR('Cash Flow Data'!I19,0)</f>
        <v>0</v>
      </c>
      <c r="I104" s="182">
        <f>IFERROR('Cash Flow Data'!J19,0)</f>
        <v>0</v>
      </c>
      <c r="J104" s="182">
        <f>IFERROR('Cash Flow Data'!K19,0)</f>
        <v>0</v>
      </c>
      <c r="K104" s="182">
        <f>IFERROR('Cash Flow Data'!L19,0)</f>
        <v>0</v>
      </c>
      <c r="L104" s="182">
        <f>IFERROR('Cash Flow Data'!M19,0)</f>
        <v>0</v>
      </c>
      <c r="M104" s="182"/>
      <c r="N104" s="182"/>
      <c r="O104" s="182"/>
    </row>
    <row r="105" spans="2:15" x14ac:dyDescent="0.3">
      <c r="B105" t="s">
        <v>104</v>
      </c>
      <c r="C105" s="182">
        <f>IFERROR('Cash Flow Data'!D20,0)</f>
        <v>0</v>
      </c>
      <c r="D105" s="182">
        <f>IFERROR('Cash Flow Data'!E20,0)</f>
        <v>0</v>
      </c>
      <c r="E105" s="182">
        <f>IFERROR('Cash Flow Data'!F20,0)</f>
        <v>0</v>
      </c>
      <c r="F105" s="182">
        <f>IFERROR('Cash Flow Data'!G20,0)</f>
        <v>0</v>
      </c>
      <c r="G105" s="182">
        <f>IFERROR('Cash Flow Data'!H20,0)</f>
        <v>0</v>
      </c>
      <c r="H105" s="182">
        <f>IFERROR('Cash Flow Data'!I20,0)</f>
        <v>0</v>
      </c>
      <c r="I105" s="182">
        <f>IFERROR('Cash Flow Data'!J20,0)</f>
        <v>0</v>
      </c>
      <c r="J105" s="182">
        <f>IFERROR('Cash Flow Data'!K20,0)</f>
        <v>0</v>
      </c>
      <c r="K105" s="182">
        <f>IFERROR('Cash Flow Data'!L20,0)</f>
        <v>0</v>
      </c>
      <c r="L105" s="182">
        <f>IFERROR('Cash Flow Data'!M20,0)</f>
        <v>-706</v>
      </c>
      <c r="M105" s="182"/>
      <c r="N105" s="182"/>
      <c r="O105" s="182"/>
    </row>
    <row r="106" spans="2:15" x14ac:dyDescent="0.3">
      <c r="B106" t="s">
        <v>105</v>
      </c>
      <c r="C106" s="182">
        <f>IFERROR('Cash Flow Data'!D21,0)</f>
        <v>1</v>
      </c>
      <c r="D106" s="182">
        <f>IFERROR('Cash Flow Data'!E21,0)</f>
        <v>7</v>
      </c>
      <c r="E106" s="182">
        <f>IFERROR('Cash Flow Data'!F21,0)</f>
        <v>15</v>
      </c>
      <c r="F106" s="182">
        <f>IFERROR('Cash Flow Data'!G21,0)</f>
        <v>0</v>
      </c>
      <c r="G106" s="182">
        <f>IFERROR('Cash Flow Data'!H21,0)</f>
        <v>3</v>
      </c>
      <c r="H106" s="182">
        <f>IFERROR('Cash Flow Data'!I21,0)</f>
        <v>-1314</v>
      </c>
      <c r="I106" s="182">
        <f>IFERROR('Cash Flow Data'!J21,0)</f>
        <v>20</v>
      </c>
      <c r="J106" s="182">
        <f>IFERROR('Cash Flow Data'!K21,0)</f>
        <v>126</v>
      </c>
      <c r="K106" s="182">
        <f>IFERROR('Cash Flow Data'!L21,0)</f>
        <v>190</v>
      </c>
      <c r="L106" s="182">
        <f>IFERROR('Cash Flow Data'!M21,0)</f>
        <v>400</v>
      </c>
      <c r="M106" s="182"/>
      <c r="N106" s="182"/>
      <c r="O106" s="182"/>
    </row>
    <row r="107" spans="2:15" x14ac:dyDescent="0.3">
      <c r="B107" s="57" t="s">
        <v>119</v>
      </c>
      <c r="C107" s="183">
        <f>SUM(C99:C106)</f>
        <v>-126</v>
      </c>
      <c r="D107" s="183">
        <f t="shared" ref="D107:L107" si="28">SUM(D99:D106)</f>
        <v>-131</v>
      </c>
      <c r="E107" s="183">
        <f t="shared" si="28"/>
        <v>-52</v>
      </c>
      <c r="F107" s="183">
        <f t="shared" si="28"/>
        <v>82</v>
      </c>
      <c r="G107" s="183">
        <f t="shared" si="28"/>
        <v>-321</v>
      </c>
      <c r="H107" s="183">
        <f t="shared" si="28"/>
        <v>-1920</v>
      </c>
      <c r="I107" s="183">
        <f t="shared" si="28"/>
        <v>-393</v>
      </c>
      <c r="J107" s="183">
        <f t="shared" si="28"/>
        <v>-926</v>
      </c>
      <c r="K107" s="183">
        <f t="shared" si="28"/>
        <v>-1238</v>
      </c>
      <c r="L107" s="183">
        <f t="shared" si="28"/>
        <v>-1811</v>
      </c>
      <c r="M107" s="182"/>
      <c r="N107" s="182"/>
      <c r="O107" s="182"/>
    </row>
    <row r="108" spans="2:15" x14ac:dyDescent="0.3">
      <c r="C108" s="182"/>
      <c r="D108" s="182"/>
      <c r="E108" s="182"/>
      <c r="F108" s="182"/>
      <c r="G108" s="182"/>
      <c r="H108" s="182"/>
      <c r="I108" s="182"/>
      <c r="J108" s="182"/>
      <c r="K108" s="182"/>
      <c r="L108" s="182"/>
      <c r="M108" s="182"/>
      <c r="N108" s="182"/>
      <c r="O108" s="182"/>
    </row>
    <row r="109" spans="2:15" x14ac:dyDescent="0.3">
      <c r="B109" t="s">
        <v>120</v>
      </c>
      <c r="C109" s="182"/>
      <c r="D109" s="182"/>
      <c r="E109" s="182"/>
      <c r="F109" s="182"/>
      <c r="G109" s="182"/>
      <c r="H109" s="182"/>
      <c r="I109" s="182"/>
      <c r="J109" s="182"/>
      <c r="K109" s="182"/>
      <c r="L109" s="182"/>
      <c r="M109" s="182"/>
      <c r="N109" s="182"/>
      <c r="O109" s="182"/>
    </row>
    <row r="110" spans="2:15" x14ac:dyDescent="0.3">
      <c r="B110" t="s">
        <v>107</v>
      </c>
      <c r="C110" s="182">
        <f>IFERROR('Cash Flow Data'!D23,0)</f>
        <v>0</v>
      </c>
      <c r="D110" s="182">
        <f>IFERROR('Cash Flow Data'!E23,0)</f>
        <v>0</v>
      </c>
      <c r="E110" s="182">
        <f>IFERROR('Cash Flow Data'!F23,0)</f>
        <v>0</v>
      </c>
      <c r="F110" s="182">
        <f>IFERROR('Cash Flow Data'!G23,0)</f>
        <v>0</v>
      </c>
      <c r="G110" s="182">
        <f>IFERROR('Cash Flow Data'!H23,0)</f>
        <v>0</v>
      </c>
      <c r="H110" s="182">
        <f>IFERROR('Cash Flow Data'!I23,0)</f>
        <v>24</v>
      </c>
      <c r="I110" s="182">
        <f>IFERROR('Cash Flow Data'!J23,0)</f>
        <v>0</v>
      </c>
      <c r="J110" s="182">
        <f>IFERROR('Cash Flow Data'!K23,0)</f>
        <v>0</v>
      </c>
      <c r="K110" s="182">
        <f>IFERROR('Cash Flow Data'!L23,0)</f>
        <v>0</v>
      </c>
      <c r="L110" s="182">
        <f>IFERROR('Cash Flow Data'!M23,0)</f>
        <v>726</v>
      </c>
      <c r="M110" s="182"/>
      <c r="N110" s="182"/>
      <c r="O110" s="182"/>
    </row>
    <row r="111" spans="2:15" x14ac:dyDescent="0.3">
      <c r="B111" t="s">
        <v>108</v>
      </c>
      <c r="C111" s="182">
        <f>IFERROR('Cash Flow Data'!D24,0)</f>
        <v>0</v>
      </c>
      <c r="D111" s="182">
        <f>IFERROR('Cash Flow Data'!E24,0)</f>
        <v>0</v>
      </c>
      <c r="E111" s="182">
        <f>IFERROR('Cash Flow Data'!F24,0)</f>
        <v>0</v>
      </c>
      <c r="F111" s="182">
        <f>IFERROR('Cash Flow Data'!G24,0)</f>
        <v>0</v>
      </c>
      <c r="G111" s="182">
        <f>IFERROR('Cash Flow Data'!H24,0)</f>
        <v>0</v>
      </c>
      <c r="H111" s="182">
        <f>IFERROR('Cash Flow Data'!I24,0)</f>
        <v>-24</v>
      </c>
      <c r="I111" s="182">
        <f>IFERROR('Cash Flow Data'!J24,0)</f>
        <v>0</v>
      </c>
      <c r="J111" s="182">
        <f>IFERROR('Cash Flow Data'!K24,0)</f>
        <v>0</v>
      </c>
      <c r="K111" s="182">
        <f>IFERROR('Cash Flow Data'!L24,0)</f>
        <v>0</v>
      </c>
      <c r="L111" s="182">
        <f>IFERROR('Cash Flow Data'!M24,0)</f>
        <v>0</v>
      </c>
      <c r="M111" s="182"/>
      <c r="N111" s="182"/>
      <c r="O111" s="182"/>
    </row>
    <row r="112" spans="2:15" x14ac:dyDescent="0.3">
      <c r="B112" t="s">
        <v>109</v>
      </c>
      <c r="C112" s="182">
        <f>IFERROR('Cash Flow Data'!D25,0)</f>
        <v>0</v>
      </c>
      <c r="D112" s="182">
        <f>IFERROR('Cash Flow Data'!E25,0)</f>
        <v>0</v>
      </c>
      <c r="E112" s="182">
        <f>IFERROR('Cash Flow Data'!F25,0)</f>
        <v>0</v>
      </c>
      <c r="F112" s="182">
        <f>IFERROR('Cash Flow Data'!G25,0)</f>
        <v>0</v>
      </c>
      <c r="G112" s="182">
        <f>IFERROR('Cash Flow Data'!H25,0)</f>
        <v>0</v>
      </c>
      <c r="H112" s="182">
        <f>IFERROR('Cash Flow Data'!I25,0)</f>
        <v>0</v>
      </c>
      <c r="I112" s="182">
        <f>IFERROR('Cash Flow Data'!J25,0)</f>
        <v>0</v>
      </c>
      <c r="J112" s="182">
        <f>IFERROR('Cash Flow Data'!K25,0)</f>
        <v>0</v>
      </c>
      <c r="K112" s="182">
        <f>IFERROR('Cash Flow Data'!L25,0)</f>
        <v>0</v>
      </c>
      <c r="L112" s="182">
        <f>IFERROR('Cash Flow Data'!M25,0)</f>
        <v>0</v>
      </c>
      <c r="M112" s="182"/>
      <c r="N112" s="182"/>
      <c r="O112" s="182"/>
    </row>
    <row r="113" spans="1:15" x14ac:dyDescent="0.3">
      <c r="B113" t="s">
        <v>110</v>
      </c>
      <c r="C113" s="182">
        <f>IFERROR('Cash Flow Data'!D26,0)</f>
        <v>-4</v>
      </c>
      <c r="D113" s="182">
        <f>IFERROR('Cash Flow Data'!E26,0)</f>
        <v>-1</v>
      </c>
      <c r="E113" s="182">
        <f>IFERROR('Cash Flow Data'!F26,0)</f>
        <v>-4</v>
      </c>
      <c r="F113" s="182">
        <f>IFERROR('Cash Flow Data'!G26,0)</f>
        <v>-63</v>
      </c>
      <c r="G113" s="182">
        <f>IFERROR('Cash Flow Data'!H26,0)</f>
        <v>-69</v>
      </c>
      <c r="H113" s="182">
        <f>IFERROR('Cash Flow Data'!I26,0)</f>
        <v>-9</v>
      </c>
      <c r="I113" s="182">
        <f>IFERROR('Cash Flow Data'!J26,0)</f>
        <v>-18</v>
      </c>
      <c r="J113" s="182">
        <f>IFERROR('Cash Flow Data'!K26,0)</f>
        <v>-20</v>
      </c>
      <c r="K113" s="182">
        <f>IFERROR('Cash Flow Data'!L26,0)</f>
        <v>-26</v>
      </c>
      <c r="L113" s="182">
        <f>IFERROR('Cash Flow Data'!M26,0)</f>
        <v>-34</v>
      </c>
      <c r="M113" s="182"/>
      <c r="N113" s="182"/>
      <c r="O113" s="182"/>
    </row>
    <row r="114" spans="1:15" x14ac:dyDescent="0.3">
      <c r="B114" t="s">
        <v>111</v>
      </c>
      <c r="C114" s="182">
        <f>IFERROR('Cash Flow Data'!D27,0)</f>
        <v>-564</v>
      </c>
      <c r="D114" s="182">
        <f>IFERROR('Cash Flow Data'!E27,0)</f>
        <v>-829</v>
      </c>
      <c r="E114" s="182">
        <f>IFERROR('Cash Flow Data'!F27,0)</f>
        <v>-1090</v>
      </c>
      <c r="F114" s="182">
        <f>IFERROR('Cash Flow Data'!G27,0)</f>
        <v>-2950</v>
      </c>
      <c r="G114" s="182">
        <f>IFERROR('Cash Flow Data'!H27,0)</f>
        <v>-1890</v>
      </c>
      <c r="H114" s="182">
        <f>IFERROR('Cash Flow Data'!I27,0)</f>
        <v>-1928</v>
      </c>
      <c r="I114" s="182">
        <f>IFERROR('Cash Flow Data'!J27,0)</f>
        <v>-2025</v>
      </c>
      <c r="J114" s="182">
        <f>IFERROR('Cash Flow Data'!K27,0)</f>
        <v>-2333</v>
      </c>
      <c r="K114" s="182">
        <f>IFERROR('Cash Flow Data'!L27,0)</f>
        <v>-3008</v>
      </c>
      <c r="L114" s="182">
        <f>IFERROR('Cash Flow Data'!M27,0)</f>
        <v>-2459</v>
      </c>
      <c r="M114" s="182"/>
      <c r="N114" s="182"/>
      <c r="O114" s="182"/>
    </row>
    <row r="115" spans="1:15" x14ac:dyDescent="0.3">
      <c r="B115" t="s">
        <v>112</v>
      </c>
      <c r="C115" s="182">
        <f>IFERROR('Cash Flow Data'!D28,0)</f>
        <v>0</v>
      </c>
      <c r="D115" s="182">
        <f>IFERROR('Cash Flow Data'!E28,0)</f>
        <v>0</v>
      </c>
      <c r="E115" s="182">
        <f>IFERROR('Cash Flow Data'!F28,0)</f>
        <v>0</v>
      </c>
      <c r="F115" s="182">
        <f>IFERROR('Cash Flow Data'!G28,0)</f>
        <v>0</v>
      </c>
      <c r="G115" s="182">
        <f>IFERROR('Cash Flow Data'!H28,0)</f>
        <v>0</v>
      </c>
      <c r="H115" s="182">
        <f>IFERROR('Cash Flow Data'!I28,0)</f>
        <v>-79</v>
      </c>
      <c r="I115" s="182">
        <f>IFERROR('Cash Flow Data'!J28,0)</f>
        <v>-73</v>
      </c>
      <c r="J115" s="182">
        <f>IFERROR('Cash Flow Data'!K28,0)</f>
        <v>-166</v>
      </c>
      <c r="K115" s="182">
        <f>IFERROR('Cash Flow Data'!L28,0)</f>
        <v>-100</v>
      </c>
      <c r="L115" s="182">
        <f>IFERROR('Cash Flow Data'!M28,0)</f>
        <v>-76</v>
      </c>
      <c r="M115" s="182"/>
      <c r="N115" s="182"/>
      <c r="O115" s="182"/>
    </row>
    <row r="116" spans="1:15" x14ac:dyDescent="0.3">
      <c r="B116" t="s">
        <v>113</v>
      </c>
      <c r="C116" s="182">
        <f>IFERROR('Cash Flow Data'!D29,0)</f>
        <v>-98</v>
      </c>
      <c r="D116" s="182">
        <f>IFERROR('Cash Flow Data'!E29,0)</f>
        <v>-167</v>
      </c>
      <c r="E116" s="182">
        <f>IFERROR('Cash Flow Data'!F29,0)</f>
        <v>-224</v>
      </c>
      <c r="F116" s="182">
        <f>IFERROR('Cash Flow Data'!G29,0)</f>
        <v>-588</v>
      </c>
      <c r="G116" s="182">
        <f>IFERROR('Cash Flow Data'!H29,0)</f>
        <v>3</v>
      </c>
      <c r="H116" s="182">
        <f>IFERROR('Cash Flow Data'!I29,0)</f>
        <v>-3</v>
      </c>
      <c r="I116" s="182">
        <f>IFERROR('Cash Flow Data'!J29,0)</f>
        <v>-7</v>
      </c>
      <c r="J116" s="182">
        <f>IFERROR('Cash Flow Data'!K29,0)</f>
        <v>83</v>
      </c>
      <c r="K116" s="182">
        <f>IFERROR('Cash Flow Data'!L29,0)</f>
        <v>-1</v>
      </c>
      <c r="L116" s="182">
        <f>IFERROR('Cash Flow Data'!M29,0)</f>
        <v>-4</v>
      </c>
      <c r="M116" s="182"/>
      <c r="N116" s="182"/>
      <c r="O116" s="182"/>
    </row>
    <row r="117" spans="1:15" x14ac:dyDescent="0.3">
      <c r="B117" s="30" t="s">
        <v>121</v>
      </c>
      <c r="C117" s="184">
        <f>SUM(C110:C116)</f>
        <v>-666</v>
      </c>
      <c r="D117" s="184">
        <f t="shared" ref="D117:L117" si="29">SUM(D110:D116)</f>
        <v>-997</v>
      </c>
      <c r="E117" s="184">
        <f t="shared" si="29"/>
        <v>-1318</v>
      </c>
      <c r="F117" s="184">
        <f t="shared" si="29"/>
        <v>-3601</v>
      </c>
      <c r="G117" s="184">
        <f t="shared" si="29"/>
        <v>-1956</v>
      </c>
      <c r="H117" s="184">
        <f t="shared" si="29"/>
        <v>-2019</v>
      </c>
      <c r="I117" s="184">
        <f t="shared" si="29"/>
        <v>-2123</v>
      </c>
      <c r="J117" s="184">
        <f t="shared" si="29"/>
        <v>-2436</v>
      </c>
      <c r="K117" s="184">
        <f t="shared" si="29"/>
        <v>-3135</v>
      </c>
      <c r="L117" s="184">
        <f t="shared" si="29"/>
        <v>-1847</v>
      </c>
      <c r="M117" s="182"/>
      <c r="N117" s="182"/>
      <c r="O117" s="182"/>
    </row>
    <row r="118" spans="1:15" x14ac:dyDescent="0.3">
      <c r="C118" s="182"/>
      <c r="D118" s="182"/>
      <c r="E118" s="182"/>
      <c r="F118" s="182"/>
      <c r="G118" s="182"/>
      <c r="H118" s="182"/>
      <c r="I118" s="182"/>
      <c r="J118" s="182"/>
      <c r="K118" s="182"/>
      <c r="L118" s="182"/>
      <c r="M118" s="182"/>
      <c r="N118" s="182"/>
      <c r="O118" s="182"/>
    </row>
    <row r="119" spans="1:15" x14ac:dyDescent="0.3">
      <c r="C119" s="182"/>
      <c r="D119" s="182"/>
      <c r="E119" s="182"/>
      <c r="F119" s="182"/>
      <c r="G119" s="182"/>
      <c r="H119" s="182"/>
      <c r="I119" s="182"/>
      <c r="J119" s="182"/>
      <c r="K119" s="182"/>
      <c r="L119" s="182"/>
      <c r="M119" s="182"/>
      <c r="N119" s="182"/>
      <c r="O119" s="182"/>
    </row>
    <row r="120" spans="1:15" x14ac:dyDescent="0.3">
      <c r="A120" t="s">
        <v>55</v>
      </c>
      <c r="B120" t="s">
        <v>50</v>
      </c>
      <c r="C120" s="182">
        <f>IFERROR(C96+C107+C117,0)</f>
        <v>1382</v>
      </c>
      <c r="D120" s="182">
        <f t="shared" ref="D120:L120" si="30">IFERROR(D96+D107+D117,0)</f>
        <v>1669</v>
      </c>
      <c r="E120" s="182">
        <f t="shared" si="30"/>
        <v>1977</v>
      </c>
      <c r="F120" s="182">
        <f t="shared" si="30"/>
        <v>-389</v>
      </c>
      <c r="G120" s="182">
        <f t="shared" si="30"/>
        <v>978</v>
      </c>
      <c r="H120" s="182">
        <f t="shared" si="30"/>
        <v>-1148</v>
      </c>
      <c r="I120" s="182">
        <f t="shared" si="30"/>
        <v>1032</v>
      </c>
      <c r="J120" s="182">
        <f t="shared" si="30"/>
        <v>1153</v>
      </c>
      <c r="K120" s="182">
        <f t="shared" si="30"/>
        <v>851</v>
      </c>
      <c r="L120" s="182">
        <f t="shared" si="30"/>
        <v>-480</v>
      </c>
      <c r="M120" s="182"/>
      <c r="N120" s="182"/>
      <c r="O120" s="182"/>
    </row>
    <row r="121" spans="1:15" x14ac:dyDescent="0.3">
      <c r="C121" s="182"/>
      <c r="D121" s="182"/>
      <c r="E121" s="182"/>
      <c r="F121" s="182"/>
      <c r="G121" s="182"/>
      <c r="H121" s="182"/>
      <c r="I121" s="182"/>
      <c r="J121" s="182"/>
      <c r="K121" s="182"/>
      <c r="L121" s="182"/>
      <c r="M121" s="182"/>
      <c r="N121" s="182"/>
      <c r="O121" s="182"/>
    </row>
    <row r="122" spans="1:15" x14ac:dyDescent="0.3">
      <c r="C122" s="182"/>
      <c r="D122" s="182"/>
      <c r="E122" s="182"/>
      <c r="F122" s="182"/>
      <c r="G122" s="182"/>
      <c r="H122" s="182"/>
      <c r="I122" s="182"/>
      <c r="J122" s="182"/>
      <c r="K122" s="182"/>
      <c r="L122" s="182"/>
      <c r="M122" s="182"/>
      <c r="N122" s="182"/>
      <c r="O122" s="182"/>
    </row>
    <row r="123" spans="1:15" x14ac:dyDescent="0.3">
      <c r="C123" s="182"/>
      <c r="D123" s="182"/>
      <c r="E123" s="182"/>
      <c r="F123" s="182"/>
      <c r="G123" s="182"/>
      <c r="H123" s="182"/>
      <c r="I123" s="182"/>
      <c r="J123" s="182"/>
      <c r="K123" s="182"/>
      <c r="L123" s="182"/>
      <c r="M123" s="182"/>
      <c r="N123" s="182"/>
      <c r="O123" s="182"/>
    </row>
  </sheetData>
  <mergeCells count="1">
    <mergeCell ref="B7:L7"/>
  </mergeCells>
  <pageMargins left="0.7" right="0.7" top="0.75" bottom="0.75" header="0.3" footer="0.3"/>
  <pageSetup paperSize="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A8A5D-7F90-453F-81A1-C6CFB8ED146D}">
  <sheetPr>
    <tabColor rgb="FF002060"/>
  </sheetPr>
  <dimension ref="A1:R56"/>
  <sheetViews>
    <sheetView showGridLines="0" zoomScale="80" zoomScaleNormal="80" workbookViewId="0">
      <selection sqref="A1:O1"/>
    </sheetView>
  </sheetViews>
  <sheetFormatPr defaultRowHeight="14.4" x14ac:dyDescent="0.3"/>
  <cols>
    <col min="1" max="1" width="1.88671875" customWidth="1"/>
    <col min="2" max="2" width="55.33203125" bestFit="1" customWidth="1"/>
    <col min="3" max="5" width="10.33203125" bestFit="1" customWidth="1"/>
    <col min="6" max="6" width="9.88671875" bestFit="1" customWidth="1"/>
    <col min="7" max="7" width="10.33203125" bestFit="1" customWidth="1"/>
    <col min="8" max="11" width="9.5546875" bestFit="1" customWidth="1"/>
    <col min="12" max="12" width="9.88671875" bestFit="1" customWidth="1"/>
    <col min="13" max="13" width="23.21875" customWidth="1"/>
    <col min="14" max="14" width="13.77734375" customWidth="1"/>
    <col min="15" max="15" width="14.33203125" customWidth="1"/>
    <col min="17" max="17" width="14.33203125" customWidth="1"/>
    <col min="18" max="18" width="81.5546875" customWidth="1"/>
  </cols>
  <sheetData>
    <row r="1" spans="1:18" ht="13.8" customHeight="1" x14ac:dyDescent="0.3">
      <c r="A1" s="252"/>
      <c r="B1" s="252"/>
      <c r="C1" s="252"/>
      <c r="D1" s="252"/>
      <c r="E1" s="252"/>
      <c r="F1" s="252"/>
      <c r="G1" s="252"/>
      <c r="H1" s="252"/>
      <c r="I1" s="252"/>
      <c r="J1" s="252"/>
      <c r="K1" s="252"/>
      <c r="L1" s="252"/>
      <c r="M1" s="252"/>
      <c r="N1" s="252"/>
      <c r="O1" s="252"/>
    </row>
    <row r="7" spans="1:18" ht="28.8" x14ac:dyDescent="0.55000000000000004">
      <c r="B7" s="358" t="str">
        <f>" Ratio Analysis - "&amp;'Data Sheet'!B1</f>
        <v xml:space="preserve"> Ratio Analysis - NESTLE INDIA LTD</v>
      </c>
      <c r="C7" s="358"/>
      <c r="D7" s="358"/>
      <c r="E7" s="358"/>
      <c r="F7" s="358"/>
      <c r="G7" s="358"/>
      <c r="H7" s="358"/>
      <c r="I7" s="358"/>
      <c r="J7" s="358"/>
      <c r="K7" s="358"/>
      <c r="L7" s="358"/>
      <c r="M7" s="76"/>
      <c r="N7" s="76"/>
      <c r="O7" s="76"/>
    </row>
    <row r="8" spans="1:18" ht="18" x14ac:dyDescent="0.35">
      <c r="A8" s="58"/>
      <c r="B8" s="13" t="s">
        <v>54</v>
      </c>
      <c r="C8" s="14">
        <f>'Data Sheet'!B16</f>
        <v>43100</v>
      </c>
      <c r="D8" s="14">
        <f>'Data Sheet'!C16</f>
        <v>43465</v>
      </c>
      <c r="E8" s="14">
        <f>'Data Sheet'!D16</f>
        <v>43830</v>
      </c>
      <c r="F8" s="14">
        <f>'Data Sheet'!E16</f>
        <v>44196</v>
      </c>
      <c r="G8" s="14">
        <f>'Data Sheet'!F16</f>
        <v>44561</v>
      </c>
      <c r="H8" s="14">
        <f>'Data Sheet'!G16</f>
        <v>44926</v>
      </c>
      <c r="I8" s="14">
        <f>'Data Sheet'!H16</f>
        <v>45291</v>
      </c>
      <c r="J8" s="14">
        <f>'Data Sheet'!I16</f>
        <v>45382</v>
      </c>
      <c r="K8" s="14">
        <f>'Data Sheet'!J16</f>
        <v>45747</v>
      </c>
      <c r="L8" s="14">
        <f>'Data Sheet'!K16</f>
        <v>46112</v>
      </c>
      <c r="M8" s="13" t="s">
        <v>155</v>
      </c>
      <c r="N8" s="14" t="s">
        <v>156</v>
      </c>
      <c r="O8" s="14" t="s">
        <v>157</v>
      </c>
    </row>
    <row r="10" spans="1:18" x14ac:dyDescent="0.3">
      <c r="B10" s="67" t="s">
        <v>122</v>
      </c>
      <c r="C10" s="67"/>
      <c r="D10" s="68">
        <f>IFERROR('Historical Analysis'!D12,0)</f>
        <v>0.12814398177749364</v>
      </c>
      <c r="E10" s="68">
        <f>IFERROR('Historical Analysis'!E12,0)</f>
        <v>9.5342211973323376E-2</v>
      </c>
      <c r="F10" s="68">
        <f>IFERROR('Historical Analysis'!F12,0)</f>
        <v>7.932233262456645E-2</v>
      </c>
      <c r="G10" s="68">
        <f>IFERROR('Historical Analysis'!G12,0)</f>
        <v>0.10416156368187934</v>
      </c>
      <c r="H10" s="68">
        <f>IFERROR('Historical Analysis'!H12,0)</f>
        <v>0.14628790299438488</v>
      </c>
      <c r="I10" s="68">
        <f>IFERROR('Historical Analysis'!I12,0)</f>
        <v>0.13193734257523237</v>
      </c>
      <c r="J10" s="68">
        <f>IFERROR('Historical Analysis'!J12,0)</f>
        <v>0.27541082174806419</v>
      </c>
      <c r="K10" s="68">
        <f>IFERROR('Historical Analysis'!K12,0)</f>
        <v>-0.1718598386727167</v>
      </c>
      <c r="L10" s="68">
        <f>IFERROR('Historical Analysis'!L12,0)</f>
        <v>0.14617880995329058</v>
      </c>
      <c r="M10" s="67"/>
      <c r="N10" s="81">
        <f>IFERROR(AVERAGE(D10:L10),0)</f>
        <v>0.10388056985061313</v>
      </c>
      <c r="O10" s="81">
        <f>MEDIAN(D10:L10)</f>
        <v>0.12814398177749364</v>
      </c>
    </row>
    <row r="11" spans="1:18" x14ac:dyDescent="0.3">
      <c r="B11" t="s">
        <v>123</v>
      </c>
      <c r="D11" s="69">
        <f>IFERROR('Historical Analysis'!D23/'Historical Analysis'!C23-1,0)</f>
        <v>0.24856310188740371</v>
      </c>
      <c r="E11" s="69">
        <f>IFERROR('Historical Analysis'!E23/'Historical Analysis'!D23-1,0)</f>
        <v>0.11775065421274755</v>
      </c>
      <c r="F11" s="69">
        <f>IFERROR('Historical Analysis'!F23/'Historical Analysis'!E23-1,0)</f>
        <v>9.4200719099895247E-2</v>
      </c>
      <c r="G11" s="69">
        <f>IFERROR('Historical Analysis'!G23/'Historical Analysis'!F23-1,0)</f>
        <v>0.11272840855848743</v>
      </c>
      <c r="H11" s="69">
        <f>IFERROR('Historical Analysis'!H23/'Historical Analysis'!G23-1,0)</f>
        <v>4.0391309229732553E-2</v>
      </c>
      <c r="I11" s="69">
        <f>IFERROR('Historical Analysis'!I23/'Historical Analysis'!H23-1,0)</f>
        <v>0.20632492330605601</v>
      </c>
      <c r="J11" s="69">
        <f>IFERROR('Historical Analysis'!J23/'Historical Analysis'!I23-1,0)</f>
        <v>0.3068962355093614</v>
      </c>
      <c r="K11" s="69">
        <f>IFERROR('Historical Analysis'!K23/'Historical Analysis'!J23-1,0)</f>
        <v>-0.18342768931666631</v>
      </c>
      <c r="L11" s="69">
        <f>IFERROR('Historical Analysis'!L23/'Historical Analysis'!K23-1,0)</f>
        <v>0.11226010357698968</v>
      </c>
      <c r="N11" s="28">
        <f t="shared" ref="N11:N14" si="0">IFERROR(AVERAGE(D11:L11),0)</f>
        <v>0.11729864067377857</v>
      </c>
      <c r="O11" s="28">
        <f t="shared" ref="O11:O13" si="1">MEDIAN(D11:L11)</f>
        <v>0.11272840855848743</v>
      </c>
      <c r="R11" s="26"/>
    </row>
    <row r="12" spans="1:18" x14ac:dyDescent="0.3">
      <c r="B12" t="s">
        <v>124</v>
      </c>
      <c r="D12" s="69">
        <f>IFERROR('Historical Analysis'!D31/'Historical Analysis'!C31-1,0)</f>
        <v>0.31571043910521879</v>
      </c>
      <c r="E12" s="69">
        <f>IFERROR('Historical Analysis'!E31/'Historical Analysis'!D31-1,0)</f>
        <v>0.10299893738439092</v>
      </c>
      <c r="F12" s="69">
        <f>IFERROR('Historical Analysis'!F31/'Historical Analysis'!E31-1,0)</f>
        <v>6.221343676073432E-2</v>
      </c>
      <c r="G12" s="69">
        <f>IFERROR('Historical Analysis'!G31/'Historical Analysis'!F31-1,0)</f>
        <v>2.7554862830326821E-2</v>
      </c>
      <c r="H12" s="69">
        <f>IFERROR('Historical Analysis'!H31/'Historical Analysis'!G31-1,0)</f>
        <v>0.1149199084668191</v>
      </c>
      <c r="I12" s="69">
        <f>IFERROR('Historical Analysis'!I31/'Historical Analysis'!H31-1,0)</f>
        <v>0.21903862731415025</v>
      </c>
      <c r="J12" s="69">
        <f>IFERROR('Historical Analysis'!J31/'Historical Analysis'!I31-1,0)</f>
        <v>0.30709691695649877</v>
      </c>
      <c r="K12" s="69">
        <f>IFERROR('Historical Analysis'!K31/'Historical Analysis'!J31-1,0)</f>
        <v>-0.15657593534473213</v>
      </c>
      <c r="L12" s="69">
        <f>IFERROR('Historical Analysis'!L31/'Historical Analysis'!K31-1,0)</f>
        <v>4.0251163419853908E-2</v>
      </c>
      <c r="N12" s="28">
        <f t="shared" si="0"/>
        <v>0.11480092854369565</v>
      </c>
      <c r="O12" s="28">
        <f t="shared" si="1"/>
        <v>0.10299893738439092</v>
      </c>
      <c r="R12" s="26"/>
    </row>
    <row r="13" spans="1:18" x14ac:dyDescent="0.3">
      <c r="B13" t="s">
        <v>125</v>
      </c>
      <c r="D13" s="69">
        <f>IFERROR('Historical Analysis'!D44/'Historical Analysis'!C44-1,0)</f>
        <v>0.31157616369705843</v>
      </c>
      <c r="E13" s="69">
        <f>IFERROR('Historical Analysis'!E44/'Historical Analysis'!D44-1,0)</f>
        <v>0.22496935149633046</v>
      </c>
      <c r="F13" s="69">
        <f>IFERROR('Historical Analysis'!F44/'Historical Analysis'!E44-1,0)</f>
        <v>5.7908800877853217E-2</v>
      </c>
      <c r="G13" s="69">
        <f>IFERROR('Historical Analysis'!G44/'Historical Analysis'!F44-1,0)</f>
        <v>1.7277891693837644E-2</v>
      </c>
      <c r="H13" s="69">
        <f>IFERROR('Historical Analysis'!H44/'Historical Analysis'!G44-1,0)</f>
        <v>0.12845011116828142</v>
      </c>
      <c r="I13" s="69">
        <f>IFERROR('Historical Analysis'!I44/'Historical Analysis'!H44-1,0)</f>
        <v>0.25440071616217508</v>
      </c>
      <c r="J13" s="69">
        <f>IFERROR('Historical Analysis'!J44/'Historical Analysis'!I44-1,0)</f>
        <v>0.31152811079578613</v>
      </c>
      <c r="K13" s="69">
        <f>IFERROR('Historical Analysis'!K44/'Historical Analysis'!J44-1,0)</f>
        <v>-0.15722480446700071</v>
      </c>
      <c r="L13" s="69">
        <f>IFERROR('Historical Analysis'!L44/'Historical Analysis'!K44-1,0)</f>
        <v>6.9422235631316109E-2</v>
      </c>
      <c r="N13" s="28">
        <f t="shared" si="0"/>
        <v>0.13536761967284866</v>
      </c>
      <c r="O13" s="28">
        <f t="shared" si="1"/>
        <v>0.12845011116828142</v>
      </c>
    </row>
    <row r="14" spans="1:18" x14ac:dyDescent="0.3">
      <c r="B14" s="70" t="s">
        <v>126</v>
      </c>
      <c r="C14" s="70"/>
      <c r="D14" s="71">
        <f>IFERROR('Historical Analysis'!D53/'Historical Analysis'!C53-1,0)</f>
        <v>0.33721252758649767</v>
      </c>
      <c r="E14" s="71">
        <f>IFERROR('Historical Analysis'!E53/'Historical Analysis'!D53-1,0)</f>
        <v>1.9739094360722569</v>
      </c>
      <c r="F14" s="71">
        <f>IFERROR('Historical Analysis'!F53/'Historical Analysis'!E53-1,0)</f>
        <v>-0.41520396899525702</v>
      </c>
      <c r="G14" s="71">
        <f>IFERROR('Historical Analysis'!G53/'Historical Analysis'!F53-1,0)</f>
        <v>0</v>
      </c>
      <c r="H14" s="71">
        <f>IFERROR('Historical Analysis'!H53/'Historical Analysis'!G53-1,0)</f>
        <v>9.9999999999999867E-2</v>
      </c>
      <c r="I14" s="71">
        <f>IFERROR('Historical Analysis'!I53/'Historical Analysis'!H53-1,0)</f>
        <v>-0.20908996624615794</v>
      </c>
      <c r="J14" s="71">
        <f>IFERROR('Historical Analysis'!J53/'Historical Analysis'!I53-1,0)</f>
        <v>0.85028221538545989</v>
      </c>
      <c r="K14" s="71">
        <f>IFERROR('Historical Analysis'!K53/'Historical Analysis'!J53-1,0)</f>
        <v>-0.16148960292715597</v>
      </c>
      <c r="L14" s="71">
        <f>IFERROR('Historical Analysis'!L53/'Historical Analysis'!K53-1,0)</f>
        <v>-0.11115720574339116</v>
      </c>
      <c r="M14" s="70"/>
      <c r="N14" s="72">
        <f t="shared" si="0"/>
        <v>0.26271815945913912</v>
      </c>
      <c r="O14" s="72"/>
    </row>
    <row r="15" spans="1:18" x14ac:dyDescent="0.3">
      <c r="R15" s="26"/>
    </row>
    <row r="16" spans="1:18" x14ac:dyDescent="0.3">
      <c r="B16" s="67" t="s">
        <v>127</v>
      </c>
      <c r="C16" s="68">
        <f>IFERROR('Historical Analysis'!C16/'Historical Analysis'!C11,0)</f>
        <v>0.41844229539641958</v>
      </c>
      <c r="D16" s="68">
        <f>IFERROR('Historical Analysis'!D16/'Historical Analysis'!D11,0)</f>
        <v>0.44728562104873515</v>
      </c>
      <c r="E16" s="68">
        <f>IFERROR('Historical Analysis'!E16/'Historical Analysis'!E11,0)</f>
        <v>0.43374350184737526</v>
      </c>
      <c r="F16" s="68">
        <f>IFERROR('Historical Analysis'!F16/'Historical Analysis'!F11,0)</f>
        <v>0.42416608801628164</v>
      </c>
      <c r="G16" s="68">
        <f>IFERROR('Historical Analysis'!G16/'Historical Analysis'!G11,0)</f>
        <v>0.4219261237168932</v>
      </c>
      <c r="H16" s="68">
        <f>IFERROR('Historical Analysis'!H16/'Historical Analysis'!H11,0)</f>
        <v>0.3950568622994905</v>
      </c>
      <c r="I16" s="68">
        <f>IFERROR('Historical Analysis'!I16/'Historical Analysis'!I11,0)</f>
        <v>0.46242137789326737</v>
      </c>
      <c r="J16" s="68">
        <f>IFERROR('Historical Analysis'!J16/'Historical Analysis'!J11,0)</f>
        <v>0.42191589779243904</v>
      </c>
      <c r="K16" s="68">
        <f>IFERROR('Historical Analysis'!K16/'Historical Analysis'!K11,0)</f>
        <v>0.42119024471377459</v>
      </c>
      <c r="L16" s="68">
        <f>IFERROR('Historical Analysis'!L16/'Historical Analysis'!L11,0)</f>
        <v>0.41144999265804633</v>
      </c>
      <c r="M16" s="67"/>
      <c r="N16" s="81">
        <f>IFERROR(AVERAGE(C16:L16),0)</f>
        <v>0.42575980053827223</v>
      </c>
      <c r="O16" s="81">
        <f>MEDIAN(C16:L16)</f>
        <v>0.42192101075466615</v>
      </c>
      <c r="R16" s="26"/>
    </row>
    <row r="17" spans="2:18" x14ac:dyDescent="0.3">
      <c r="B17" t="s">
        <v>128</v>
      </c>
      <c r="C17" s="69">
        <f>IFERROR('Historical Analysis'!C24,0)</f>
        <v>0.20945192615089528</v>
      </c>
      <c r="D17" s="69">
        <f>IFERROR('Historical Analysis'!D24,0)</f>
        <v>0.23180901625625322</v>
      </c>
      <c r="E17" s="69">
        <f>IFERROR('Historical Analysis'!E24,0)</f>
        <v>0.23655135056472276</v>
      </c>
      <c r="F17" s="69">
        <f>IFERROR('Historical Analysis'!F24,0)</f>
        <v>0.23981219517858768</v>
      </c>
      <c r="G17" s="69">
        <f>IFERROR('Historical Analysis'!G24,0)</f>
        <v>0.24167282313665861</v>
      </c>
      <c r="H17" s="69">
        <f>IFERROR('Historical Analysis'!H24,0)</f>
        <v>0.21934655701380593</v>
      </c>
      <c r="I17" s="69">
        <f>IFERROR('Historical Analysis'!I24,0)</f>
        <v>0.23376136524053268</v>
      </c>
      <c r="J17" s="69">
        <f>IFERROR('Historical Analysis'!J24,0)</f>
        <v>0.23953211234452562</v>
      </c>
      <c r="K17" s="69">
        <f>IFERROR('Historical Analysis'!K24,0)</f>
        <v>0.23618621532198505</v>
      </c>
      <c r="L17" s="69">
        <f>IFERROR('Historical Analysis'!L24,0)</f>
        <v>0.22919679027061576</v>
      </c>
      <c r="N17" s="28">
        <f t="shared" ref="N17:N20" si="2">IFERROR(AVERAGE(C17:L17),0)</f>
        <v>0.23173203514785823</v>
      </c>
      <c r="O17" s="28">
        <f t="shared" ref="O17:O20" si="3">MEDIAN(C17:L17)</f>
        <v>0.23497379028125887</v>
      </c>
      <c r="R17" s="26"/>
    </row>
    <row r="18" spans="2:18" x14ac:dyDescent="0.3">
      <c r="B18" t="s">
        <v>129</v>
      </c>
      <c r="C18" s="69">
        <f>IFERROR('Historical Analysis'!C31/'Historical Analysis'!C11,0)</f>
        <v>0.19293478260869582</v>
      </c>
      <c r="D18" s="69">
        <f>IFERROR('Historical Analysis'!D31/'Historical Analysis'!D11,0)</f>
        <v>0.22501233144443061</v>
      </c>
      <c r="E18" s="69">
        <f>IFERROR('Historical Analysis'!E31/'Historical Analysis'!E11,0)</f>
        <v>0.22658522584870111</v>
      </c>
      <c r="F18" s="69">
        <f>IFERROR('Historical Analysis'!F31/'Historical Analysis'!F11,0)</f>
        <v>0.22299350638163365</v>
      </c>
      <c r="G18" s="69">
        <f>IFERROR('Historical Analysis'!G31/'Historical Analysis'!G11,0)</f>
        <v>0.20752222265187475</v>
      </c>
      <c r="H18" s="69">
        <f>IFERROR('Historical Analysis'!H31/'Historical Analysis'!H11,0)</f>
        <v>0.20184340851845528</v>
      </c>
      <c r="I18" s="69">
        <f>IFERROR('Historical Analysis'!I31/'Historical Analysis'!I11,0)</f>
        <v>0.21737502810266493</v>
      </c>
      <c r="J18" s="69">
        <f>IFERROR('Historical Analysis'!J31/'Historical Analysis'!J11,0)</f>
        <v>0.22277545729688869</v>
      </c>
      <c r="K18" s="69">
        <f>IFERROR('Historical Analysis'!K31/'Historical Analysis'!K11,0)</f>
        <v>0.22688693348434483</v>
      </c>
      <c r="L18" s="69">
        <f>IFERROR('Historical Analysis'!L31/'Historical Analysis'!L11,0)</f>
        <v>0.20591847840169986</v>
      </c>
      <c r="N18" s="28">
        <f t="shared" si="2"/>
        <v>0.21498473747393895</v>
      </c>
      <c r="O18" s="28">
        <f t="shared" si="3"/>
        <v>0.2200752426997768</v>
      </c>
    </row>
    <row r="19" spans="2:18" x14ac:dyDescent="0.3">
      <c r="B19" t="s">
        <v>147</v>
      </c>
      <c r="C19" s="69">
        <f>IFERROR('Historical Analysis'!C38,0)</f>
        <v>0.18375359654731471</v>
      </c>
      <c r="D19" s="69">
        <f>IFERROR('Historical Analysis'!D38,0)</f>
        <v>0.21509847001532911</v>
      </c>
      <c r="E19" s="69">
        <f>IFERROR('Historical Analysis'!E38,0)</f>
        <v>0.21614614072391233</v>
      </c>
      <c r="F19" s="69">
        <f>IFERROR('Historical Analysis'!F38,0)</f>
        <v>0.2106954066769888</v>
      </c>
      <c r="G19" s="69">
        <f>IFERROR('Historical Analysis'!G38,0)</f>
        <v>0.19384027369325099</v>
      </c>
      <c r="H19" s="69">
        <f>IFERROR('Historical Analysis'!H38,0)</f>
        <v>0.1926956091509951</v>
      </c>
      <c r="I19" s="69">
        <f>IFERROR('Historical Analysis'!I38,0)</f>
        <v>0.21113806643208566</v>
      </c>
      <c r="J19" s="69">
        <f>IFERROR('Historical Analysis'!J38,0)</f>
        <v>0.21681125888490929</v>
      </c>
      <c r="K19" s="69">
        <f>IFERROR('Historical Analysis'!K38,0)</f>
        <v>0.22015478012589132</v>
      </c>
      <c r="L19" s="69">
        <f>IFERROR('Historical Analysis'!L38,0)</f>
        <v>0.19908139203441214</v>
      </c>
      <c r="N19" s="28">
        <f t="shared" si="2"/>
        <v>0.20594149942850898</v>
      </c>
      <c r="O19" s="28">
        <f t="shared" si="3"/>
        <v>0.21091673655453724</v>
      </c>
      <c r="R19" s="26"/>
    </row>
    <row r="20" spans="2:18" x14ac:dyDescent="0.3">
      <c r="B20" s="70" t="s">
        <v>130</v>
      </c>
      <c r="C20" s="71">
        <f>IFERROR('Historical Analysis'!C45,0)</f>
        <v>0.12240149456521753</v>
      </c>
      <c r="D20" s="71">
        <f>IFERROR('Historical Analysis'!D45,0)</f>
        <v>0.14230354038647683</v>
      </c>
      <c r="E20" s="71">
        <f>IFERROR('Historical Analysis'!E45,0)</f>
        <v>0.15914430547583047</v>
      </c>
      <c r="F20" s="71">
        <f>IFERROR('Historical Analysis'!F45,0)</f>
        <v>0.15598691538520892</v>
      </c>
      <c r="G20" s="71">
        <f>IFERROR('Historical Analysis'!G45,0)</f>
        <v>0.14371270078063353</v>
      </c>
      <c r="H20" s="71">
        <f>IFERROR('Historical Analysis'!H45,0)</f>
        <v>0.14147633657178557</v>
      </c>
      <c r="I20" s="71">
        <f>IFERROR('Historical Analysis'!I45,0)</f>
        <v>0.15678254550017517</v>
      </c>
      <c r="J20" s="71">
        <f>IFERROR('Historical Analysis'!J45,0)</f>
        <v>0.16122233887256196</v>
      </c>
      <c r="K20" s="71">
        <f>IFERROR('Historical Analysis'!K45,0)</f>
        <v>0.16407148754848638</v>
      </c>
      <c r="L20" s="71">
        <f>IFERROR('Historical Analysis'!L45,0)</f>
        <v>0.15308405241291143</v>
      </c>
      <c r="M20" s="70"/>
      <c r="N20" s="72">
        <f t="shared" si="2"/>
        <v>0.15001857174992878</v>
      </c>
      <c r="O20" s="72">
        <f t="shared" si="3"/>
        <v>0.15453548389906019</v>
      </c>
      <c r="R20" s="26"/>
    </row>
    <row r="22" spans="2:18" x14ac:dyDescent="0.3">
      <c r="B22" s="67" t="s">
        <v>148</v>
      </c>
      <c r="C22" s="68">
        <f>IFERROR('Historical Analysis'!C19,0)</f>
        <v>0.1822230658567775</v>
      </c>
      <c r="D22" s="68">
        <f>IFERROR('Historical Analysis'!D19,0)</f>
        <v>0.19002556616163094</v>
      </c>
      <c r="E22" s="68">
        <f>IFERROR('Historical Analysis'!E19,0)</f>
        <v>0.17997800936219066</v>
      </c>
      <c r="F22" s="68">
        <f>IFERROR('Historical Analysis'!F19,0)</f>
        <v>0.16830673788748041</v>
      </c>
      <c r="G22" s="68">
        <f>IFERROR('Historical Analysis'!G19,0)</f>
        <v>0.19687950075268357</v>
      </c>
      <c r="H22" s="68">
        <f>IFERROR('Historical Analysis'!H19,0)</f>
        <v>0.18891859837509234</v>
      </c>
      <c r="I22" s="68">
        <f>IFERROR('Historical Analysis'!I19,0)</f>
        <v>0</v>
      </c>
      <c r="J22" s="68">
        <f>IFERROR('Historical Analysis'!J19,0)</f>
        <v>0.19831113446850832</v>
      </c>
      <c r="K22" s="68">
        <f>IFERROR('Historical Analysis'!K19,0)</f>
        <v>0.20426838323377006</v>
      </c>
      <c r="L22" s="68">
        <f>IFERROR('Historical Analysis'!L19,0)</f>
        <v>0.20647733063840445</v>
      </c>
      <c r="M22" s="67"/>
      <c r="N22" s="81">
        <f>IFERROR(AVERAGE(C22:L22),0)</f>
        <v>0.1715388326736538</v>
      </c>
      <c r="O22" s="81">
        <f>MEDIAN(C22:L22)</f>
        <v>0.18947208226836165</v>
      </c>
      <c r="R22" s="26"/>
    </row>
    <row r="23" spans="2:18" x14ac:dyDescent="0.3">
      <c r="B23" t="s">
        <v>131</v>
      </c>
      <c r="C23" s="69">
        <f>IFERROR('Historical Analysis'!C29,0)</f>
        <v>3.4192175511508952E-2</v>
      </c>
      <c r="D23" s="69">
        <f>IFERROR('Historical Analysis'!D29,0)</f>
        <v>2.9725644179602505E-2</v>
      </c>
      <c r="E23" s="69">
        <f>IFERROR('Historical Analysis'!E29,0)</f>
        <v>2.9925862445326586E-2</v>
      </c>
      <c r="F23" s="69">
        <f>IFERROR('Historical Analysis'!F29,0)</f>
        <v>2.7743757879195776E-2</v>
      </c>
      <c r="G23" s="69">
        <f>IFERROR('Historical Analysis'!G29,0)</f>
        <v>2.6526753678109218E-2</v>
      </c>
      <c r="H23" s="69">
        <f>IFERROR('Historical Analysis'!H29,0)</f>
        <v>2.3851035925989056E-2</v>
      </c>
      <c r="I23" s="69">
        <f>IFERROR('Historical Analysis'!I29,0)</f>
        <v>2.2425142343265557E-2</v>
      </c>
      <c r="J23" s="69">
        <f>IFERROR('Historical Analysis'!J29,0)</f>
        <v>2.3274270729268683E-2</v>
      </c>
      <c r="K23" s="69">
        <f>IFERROR('Historical Analysis'!K29,0)</f>
        <v>2.6726648833060414E-2</v>
      </c>
      <c r="L23" s="69">
        <f>IFERROR('Historical Analysis'!L29,0)</f>
        <v>3.0198319124493625E-2</v>
      </c>
      <c r="N23" s="28">
        <f t="shared" ref="N23:N48" si="4">IFERROR(AVERAGE(C23:L23),0)</f>
        <v>2.7458961064982041E-2</v>
      </c>
      <c r="O23" s="28">
        <f t="shared" ref="O23:O48" si="5">MEDIAN(C23:L23)</f>
        <v>2.7235203356128095E-2</v>
      </c>
    </row>
    <row r="24" spans="2:18" x14ac:dyDescent="0.3">
      <c r="B24" s="70" t="s">
        <v>132</v>
      </c>
      <c r="C24" s="72">
        <f>C18</f>
        <v>0.19293478260869582</v>
      </c>
      <c r="D24" s="72">
        <f t="shared" ref="D24:L24" si="6">D18</f>
        <v>0.22501233144443061</v>
      </c>
      <c r="E24" s="72">
        <f t="shared" si="6"/>
        <v>0.22658522584870111</v>
      </c>
      <c r="F24" s="72">
        <f t="shared" si="6"/>
        <v>0.22299350638163365</v>
      </c>
      <c r="G24" s="72">
        <f t="shared" si="6"/>
        <v>0.20752222265187475</v>
      </c>
      <c r="H24" s="72">
        <f t="shared" si="6"/>
        <v>0.20184340851845528</v>
      </c>
      <c r="I24" s="72">
        <f t="shared" si="6"/>
        <v>0.21737502810266493</v>
      </c>
      <c r="J24" s="72">
        <f t="shared" si="6"/>
        <v>0.22277545729688869</v>
      </c>
      <c r="K24" s="72">
        <f t="shared" si="6"/>
        <v>0.22688693348434483</v>
      </c>
      <c r="L24" s="72">
        <f t="shared" si="6"/>
        <v>0.20591847840169986</v>
      </c>
      <c r="N24" s="28">
        <f t="shared" si="4"/>
        <v>0.21498473747393895</v>
      </c>
      <c r="O24" s="28">
        <f t="shared" si="5"/>
        <v>0.2200752426997768</v>
      </c>
      <c r="R24" s="26"/>
    </row>
    <row r="25" spans="2:18" x14ac:dyDescent="0.3">
      <c r="M25" s="82"/>
      <c r="N25" s="82"/>
      <c r="O25" s="82"/>
      <c r="R25" s="60"/>
    </row>
    <row r="26" spans="2:18" x14ac:dyDescent="0.3">
      <c r="B26" s="67" t="s">
        <v>133</v>
      </c>
      <c r="C26" s="68">
        <f>IFERROR('Historical Analysis'!C31/SUM('Historical Analysis'!C63:C65),0)</f>
        <v>0.55883995566783329</v>
      </c>
      <c r="D26" s="68">
        <f>IFERROR('Historical Analysis'!D31/SUM('Historical Analysis'!D63:D65),0)</f>
        <v>0.68508552447099946</v>
      </c>
      <c r="E26" s="68">
        <f>IFERROR('Historical Analysis'!E31/SUM('Historical Analysis'!E63:E65),0)</f>
        <v>1.3296312286211751</v>
      </c>
      <c r="F26" s="68">
        <f>IFERROR('Historical Analysis'!F31/SUM('Historical Analysis'!F63:F65),0)</f>
        <v>1.3738825842359579</v>
      </c>
      <c r="G26" s="68">
        <f>IFERROR('Historical Analysis'!G31/SUM('Historical Analysis'!G63:G65),0)</f>
        <v>1.3823864355308104</v>
      </c>
      <c r="H26" s="68">
        <f>IFERROR('Historical Analysis'!H31/SUM('Historical Analysis'!H63:H65),0)</f>
        <v>1.2494239272591385</v>
      </c>
      <c r="I26" s="68">
        <f>IFERROR('Historical Analysis'!I31/SUM('Historical Analysis'!I63:I65),0)</f>
        <v>1.5230960292194351</v>
      </c>
      <c r="J26" s="68">
        <f>IFERROR('Historical Analysis'!J31/SUM('Historical Analysis'!J63:J65),0)</f>
        <v>1.4745564955961599</v>
      </c>
      <c r="K26" s="68">
        <f>IFERROR('Historical Analysis'!K31/SUM('Historical Analysis'!K63:K65),0)</f>
        <v>0.86742429977289959</v>
      </c>
      <c r="L26" s="68">
        <f>IFERROR('Historical Analysis'!L31/SUM('Historical Analysis'!L63:L65),0)</f>
        <v>0.82872040880175191</v>
      </c>
      <c r="N26" s="28">
        <f t="shared" si="4"/>
        <v>1.1273046889176161</v>
      </c>
      <c r="O26" s="28">
        <f t="shared" si="5"/>
        <v>1.2895275779401567</v>
      </c>
      <c r="R26" s="61"/>
    </row>
    <row r="27" spans="2:18" x14ac:dyDescent="0.3">
      <c r="B27" t="s">
        <v>134</v>
      </c>
      <c r="C27" s="69">
        <f>IFERROR('Historical Analysis'!C57,0)</f>
        <v>0.32319885079049038</v>
      </c>
      <c r="D27" s="69">
        <f>IFERROR('Historical Analysis'!D57,0)</f>
        <v>0.30996994268574274</v>
      </c>
      <c r="E27" s="69">
        <f>IFERROR('Historical Analysis'!E57,0)</f>
        <v>0</v>
      </c>
      <c r="F27" s="69">
        <f>IFERROR('Historical Analysis'!F57,0)</f>
        <v>7.3966471862199845E-2</v>
      </c>
      <c r="G27" s="69">
        <f>IFERROR('Historical Analysis'!G57,0)</f>
        <v>8.969462946266249E-2</v>
      </c>
      <c r="H27" s="69">
        <f>IFERROR('Historical Analysis'!H57,0)</f>
        <v>0.11264494754279319</v>
      </c>
      <c r="I27" s="69">
        <f>IFERROR('Historical Analysis'!I57,0)</f>
        <v>0.44051529511416732</v>
      </c>
      <c r="J27" s="69">
        <f>IFERROR('Historical Analysis'!J57,0)</f>
        <v>0.21056539294759014</v>
      </c>
      <c r="K27" s="69">
        <f>IFERROR('Historical Analysis'!K57,0)</f>
        <v>0.21456026550007568</v>
      </c>
      <c r="L27" s="69">
        <f>IFERROR('Historical Analysis'!L57,0)</f>
        <v>0.34718727077808464</v>
      </c>
      <c r="N27" s="28">
        <f t="shared" si="4"/>
        <v>0.21223030666838066</v>
      </c>
      <c r="O27" s="28">
        <f t="shared" si="5"/>
        <v>0.21256282922383291</v>
      </c>
    </row>
    <row r="28" spans="2:18" x14ac:dyDescent="0.3">
      <c r="B28" t="s">
        <v>135</v>
      </c>
      <c r="C28" s="69">
        <f>IFERROR('Historical Analysis'!C44/SUM('Historical Analysis'!C63:C64),0)</f>
        <v>0.35818089861690566</v>
      </c>
      <c r="D28" s="69">
        <f>IFERROR('Historical Analysis'!D44/SUM('Historical Analysis'!D63:D64),0)</f>
        <v>0.43740983303118908</v>
      </c>
      <c r="E28" s="69">
        <f>IFERROR('Historical Analysis'!E44/SUM('Historical Analysis'!E63:E64),0)</f>
        <v>1.0258329120784624</v>
      </c>
      <c r="F28" s="69">
        <f>IFERROR('Historical Analysis'!F44/SUM('Historical Analysis'!F63:F64),0)</f>
        <v>1.031242881337467</v>
      </c>
      <c r="G28" s="69">
        <f>IFERROR('Historical Analysis'!G44/SUM('Historical Analysis'!G63:G64),0)</f>
        <v>1.0883845908815333</v>
      </c>
      <c r="H28" s="69">
        <f>IFERROR('Historical Analysis'!H44/SUM('Historical Analysis'!H63:H64),0)</f>
        <v>0.97208407714797984</v>
      </c>
      <c r="I28" s="69">
        <f>IFERROR('Historical Analysis'!I44/SUM('Historical Analysis'!I63:I64),0)</f>
        <v>1.2193829625442731</v>
      </c>
      <c r="J28" s="69">
        <f>IFERROR('Historical Analysis'!J44/SUM('Historical Analysis'!J63:J64),0)</f>
        <v>1.1771833254013153</v>
      </c>
      <c r="K28" s="69">
        <f>IFERROR('Historical Analysis'!K44/SUM('Historical Analysis'!K63:K64),0)</f>
        <v>0.80504718069538428</v>
      </c>
      <c r="L28" s="69">
        <f>IFERROR('Historical Analysis'!L44/'Historical Analysis'!L63,0)</f>
        <v>18.381994502930034</v>
      </c>
      <c r="N28" s="28">
        <f t="shared" si="4"/>
        <v>2.6496743164664545</v>
      </c>
      <c r="O28" s="28">
        <f t="shared" si="5"/>
        <v>1.0285378967079648</v>
      </c>
      <c r="R28" s="60"/>
    </row>
    <row r="29" spans="2:18" x14ac:dyDescent="0.3">
      <c r="B29" t="s">
        <v>136</v>
      </c>
      <c r="C29" s="69">
        <f>IFERROR(C28*(1-'Historical Analysis'!C54),0)</f>
        <v>0.11576365480808905</v>
      </c>
      <c r="D29" s="69">
        <f>IFERROR(D28*(1-'Historical Analysis'!D54),0)</f>
        <v>0.13558390087485797</v>
      </c>
      <c r="E29" s="69">
        <f>IFERROR(E28*(1-'Historical Analysis'!E54),0)</f>
        <v>-0.69265765789240552</v>
      </c>
      <c r="F29" s="69">
        <f>IFERROR(F28*(1-'Historical Analysis'!F54),0)</f>
        <v>7.6277397565541652E-2</v>
      </c>
      <c r="G29" s="69">
        <f>IFERROR(G28*(1-'Historical Analysis'!G54),0)</f>
        <v>9.762225259199063E-2</v>
      </c>
      <c r="H29" s="69">
        <f>IFERROR(H28*(1-'Historical Analysis'!H54),0)</f>
        <v>0.10950035987751872</v>
      </c>
      <c r="I29" s="69">
        <f>IFERROR(I28*(1-'Historical Analysis'!I54),0)</f>
        <v>0.53715684560237809</v>
      </c>
      <c r="J29" s="69">
        <f>IFERROR(J28*(1-'Historical Analysis'!J54),0)</f>
        <v>0.24787406948447882</v>
      </c>
      <c r="K29" s="69">
        <f>IFERROR(K28*(1-'Historical Analysis'!K54),0)</f>
        <v>0.17273113683008906</v>
      </c>
      <c r="L29" s="69">
        <f>IFERROR(L28*(1-'Historical Analysis'!L54),0)</f>
        <v>6.3819945029300333</v>
      </c>
      <c r="N29" s="28">
        <f t="shared" si="4"/>
        <v>0.7181846462672572</v>
      </c>
      <c r="O29" s="28">
        <f t="shared" si="5"/>
        <v>0.12567377784147352</v>
      </c>
      <c r="R29" s="60"/>
    </row>
    <row r="30" spans="2:18" x14ac:dyDescent="0.3">
      <c r="B30" s="26" t="s">
        <v>152</v>
      </c>
      <c r="C30" s="73">
        <f>IFERROR('Historical Analysis'!C31/'Historical Analysis'!C33,0)</f>
        <v>21.014145810663781</v>
      </c>
      <c r="D30" s="73">
        <f>IFERROR('Historical Analysis'!D31/'Historical Analysis'!D33,0)</f>
        <v>22.696739615899961</v>
      </c>
      <c r="E30" s="73">
        <f>IFERROR('Historical Analysis'!E31/'Historical Analysis'!E33,0)</f>
        <v>21.705467781908297</v>
      </c>
      <c r="F30" s="73">
        <f>IFERROR('Historical Analysis'!F31/'Historical Analysis'!F33,0)</f>
        <v>18.132354732610551</v>
      </c>
      <c r="G30" s="73">
        <f>IFERROR('Historical Analysis'!G31/'Historical Analysis'!G33,0)</f>
        <v>15.167592225307411</v>
      </c>
      <c r="H30" s="73">
        <f>IFERROR('Historical Analysis'!H31/'Historical Analysis'!H33,0)</f>
        <v>22.064695607168261</v>
      </c>
      <c r="I30" s="73">
        <f>IFERROR('Historical Analysis'!I31/'Historical Analysis'!I33,0)</f>
        <v>34.852711878615139</v>
      </c>
      <c r="J30" s="73">
        <f>IFERROR('Historical Analysis'!J31/'Historical Analysis'!J33,0)</f>
        <v>37.352120420647459</v>
      </c>
      <c r="K30" s="73">
        <f>IFERROR('Historical Analysis'!K31/'Historical Analysis'!K33,0)</f>
        <v>33.701985294117655</v>
      </c>
      <c r="L30" s="73">
        <f>IFERROR('Historical Analysis'!L31/'Historical Analysis'!L33,0)</f>
        <v>30.11787000189501</v>
      </c>
      <c r="N30" s="28">
        <f t="shared" si="4"/>
        <v>25.680568336883351</v>
      </c>
      <c r="O30" s="28">
        <f t="shared" si="5"/>
        <v>22.380717611534109</v>
      </c>
      <c r="R30" s="60"/>
    </row>
    <row r="31" spans="2:18" x14ac:dyDescent="0.3">
      <c r="B31" s="70" t="s">
        <v>136</v>
      </c>
      <c r="C31" s="71">
        <f>C28*C27</f>
        <v>0.11576365480808905</v>
      </c>
      <c r="D31" s="71">
        <f t="shared" ref="D31:L31" si="7">D28*D27</f>
        <v>0.13558390087485797</v>
      </c>
      <c r="E31" s="71">
        <f t="shared" si="7"/>
        <v>0</v>
      </c>
      <c r="F31" s="71">
        <f t="shared" si="7"/>
        <v>7.6277397565541652E-2</v>
      </c>
      <c r="G31" s="71">
        <f t="shared" si="7"/>
        <v>9.762225259199063E-2</v>
      </c>
      <c r="H31" s="71">
        <f t="shared" si="7"/>
        <v>0.10950035987751872</v>
      </c>
      <c r="I31" s="71">
        <f t="shared" si="7"/>
        <v>0.53715684560237809</v>
      </c>
      <c r="J31" s="71">
        <f t="shared" si="7"/>
        <v>0.24787406948447882</v>
      </c>
      <c r="K31" s="71">
        <f t="shared" si="7"/>
        <v>0.17273113683008906</v>
      </c>
      <c r="L31" s="71">
        <f t="shared" si="7"/>
        <v>6.3819945029300333</v>
      </c>
      <c r="N31" s="28">
        <f t="shared" si="4"/>
        <v>0.78745041205649779</v>
      </c>
      <c r="O31" s="28">
        <f t="shared" si="5"/>
        <v>0.12567377784147352</v>
      </c>
      <c r="R31" s="60"/>
    </row>
    <row r="32" spans="2:18" x14ac:dyDescent="0.3">
      <c r="C32" s="59"/>
      <c r="M32" s="82"/>
      <c r="N32" s="82"/>
      <c r="O32" s="82"/>
      <c r="R32" s="60"/>
    </row>
    <row r="33" spans="2:18" x14ac:dyDescent="0.3">
      <c r="B33" s="67" t="s">
        <v>153</v>
      </c>
      <c r="C33" s="74">
        <f>IFERROR('Historical Analysis'!C11/'Historical Analysis'!C75,0)</f>
        <v>112.50533887827358</v>
      </c>
      <c r="D33" s="74">
        <f>IFERROR('Historical Analysis'!D11/'Historical Analysis'!D75,0)</f>
        <v>90.635444257163499</v>
      </c>
      <c r="E33" s="74">
        <f>IFERROR('Historical Analysis'!E11/'Historical Analysis'!E75,0)</f>
        <v>99.484436580069172</v>
      </c>
      <c r="F33" s="74">
        <f>IFERROR('Historical Analysis'!F11/'Historical Analysis'!F75,0)</f>
        <v>80.943612441641903</v>
      </c>
      <c r="G33" s="74">
        <f>IFERROR('Historical Analysis'!G11/'Historical Analysis'!G75,0)</f>
        <v>88.814785804663501</v>
      </c>
      <c r="H33" s="74">
        <f>IFERROR('Historical Analysis'!H11/'Historical Analysis'!H75,0)</f>
        <v>88.055448433998649</v>
      </c>
      <c r="I33" s="74">
        <f>IFERROR('Historical Analysis'!I11/'Historical Analysis'!I75,0)</f>
        <v>99.673250299650846</v>
      </c>
      <c r="J33" s="74">
        <f>IFERROR('Historical Analysis'!J11/'Historical Analysis'!J75,0)</f>
        <v>81.188477667576393</v>
      </c>
      <c r="K33" s="74">
        <f>IFERROR('Historical Analysis'!K11/'Historical Analysis'!K75,0)</f>
        <v>55.628693377392267</v>
      </c>
      <c r="L33" s="74">
        <f>IFERROR('Historical Analysis'!L11/'Historical Analysis'!L75,0)</f>
        <v>70.278325795975348</v>
      </c>
      <c r="N33" s="73">
        <f t="shared" si="4"/>
        <v>86.720781353640504</v>
      </c>
      <c r="O33" s="73">
        <f t="shared" si="5"/>
        <v>88.435117119331068</v>
      </c>
      <c r="R33" s="26"/>
    </row>
    <row r="34" spans="2:18" x14ac:dyDescent="0.3">
      <c r="B34" t="s">
        <v>137</v>
      </c>
      <c r="C34" s="73">
        <f>IFERROR('Historical Analysis'!C11/'Historical Analysis'!C66,0)</f>
        <v>2.5620575090993789</v>
      </c>
      <c r="D34" s="73">
        <f>IFERROR('Historical Analysis'!D11/'Historical Analysis'!D66,0)</f>
        <v>2.5786148154914144</v>
      </c>
      <c r="E34" s="73">
        <f>IFERROR('Historical Analysis'!E11/'Historical Analysis'!E66,0)</f>
        <v>2.4419708872230328</v>
      </c>
      <c r="F34" s="73">
        <f>IFERROR('Historical Analysis'!F11/'Historical Analysis'!F66,0)</f>
        <v>2.3286696087494989</v>
      </c>
      <c r="G34" s="73">
        <f>IFERROR('Historical Analysis'!G11/'Historical Analysis'!G66,0)</f>
        <v>2.4480784018042647</v>
      </c>
      <c r="H34" s="73">
        <f>IFERROR('Historical Analysis'!H11/'Historical Analysis'!H66,0)</f>
        <v>2.7039245965386738</v>
      </c>
      <c r="I34" s="73">
        <f>IFERROR('Historical Analysis'!I11/'Historical Analysis'!I66,0)</f>
        <v>3.0606732223297941</v>
      </c>
      <c r="J34" s="73">
        <f>IFERROR('Historical Analysis'!J11/'Historical Analysis'!J66,0)</f>
        <v>3.5675891096928178</v>
      </c>
      <c r="K34" s="73">
        <f>IFERROR('Historical Analysis'!K11/'Historical Analysis'!K66,0)</f>
        <v>2.8695846099868039</v>
      </c>
      <c r="L34" s="73">
        <f>IFERROR('Historical Analysis'!L11/'Historical Analysis'!L66,0)</f>
        <v>3.0451473413846024</v>
      </c>
      <c r="N34" s="73">
        <f t="shared" si="4"/>
        <v>2.760631010230028</v>
      </c>
      <c r="O34" s="73">
        <f t="shared" si="5"/>
        <v>2.6412697060150441</v>
      </c>
      <c r="R34" s="26"/>
    </row>
    <row r="35" spans="2:18" x14ac:dyDescent="0.3">
      <c r="B35" t="s">
        <v>138</v>
      </c>
      <c r="C35" s="73">
        <f>IFERROR('Historical Analysis'!C11/'Historical Analysis'!C76,0)</f>
        <v>11.091338216228795</v>
      </c>
      <c r="D35" s="73">
        <f>IFERROR('Historical Analysis'!D11/'Historical Analysis'!D76,0)</f>
        <v>11.695168556781111</v>
      </c>
      <c r="E35" s="73">
        <f>IFERROR('Historical Analysis'!E11/'Historical Analysis'!E76,0)</f>
        <v>9.6400819908500708</v>
      </c>
      <c r="F35" s="73">
        <f>IFERROR('Historical Analysis'!F11/'Historical Analysis'!F76,0)</f>
        <v>9.4247924432395802</v>
      </c>
      <c r="G35" s="73">
        <f>IFERROR('Historical Analysis'!G11/'Historical Analysis'!G76,0)</f>
        <v>9.2553856779581203</v>
      </c>
      <c r="H35" s="73">
        <f>IFERROR('Historical Analysis'!H11/'Historical Analysis'!H76,0)</f>
        <v>8.760484661208956</v>
      </c>
      <c r="I35" s="73">
        <f>IFERROR('Historical Analysis'!I11/'Historical Analysis'!I76,0)</f>
        <v>9.9163197270799515</v>
      </c>
      <c r="J35" s="73">
        <f>IFERROR('Historical Analysis'!J11/'Historical Analysis'!J76,0)</f>
        <v>11.67529291266225</v>
      </c>
      <c r="K35" s="73">
        <f>IFERROR('Historical Analysis'!K11/'Historical Analysis'!K76,0)</f>
        <v>7.0879184882146147</v>
      </c>
      <c r="L35" s="73">
        <f>IFERROR('Historical Analysis'!L11/'Historical Analysis'!L76,0)</f>
        <v>9.0123072372159641</v>
      </c>
      <c r="N35" s="73">
        <f t="shared" si="4"/>
        <v>9.7559089911439418</v>
      </c>
      <c r="O35" s="73">
        <f t="shared" si="5"/>
        <v>9.5324372170448264</v>
      </c>
      <c r="R35" s="26"/>
    </row>
    <row r="36" spans="2:18" x14ac:dyDescent="0.3">
      <c r="B36" t="s">
        <v>139</v>
      </c>
      <c r="C36" s="73">
        <f>IFERROR('Historical Analysis'!C11/'Historical Analysis'!C69,0)</f>
        <v>3.8260364348018872</v>
      </c>
      <c r="D36" s="73">
        <f>IFERROR('Historical Analysis'!D11/'Historical Analysis'!D69,0)</f>
        <v>4.7038973265239816</v>
      </c>
      <c r="E36" s="73">
        <f>IFERROR('Historical Analysis'!E11/'Historical Analysis'!E69,0)</f>
        <v>5.2825813064554019</v>
      </c>
      <c r="F36" s="73">
        <f>IFERROR('Historical Analysis'!F11/'Historical Analysis'!F69,0)</f>
        <v>6.125524797995789</v>
      </c>
      <c r="G36" s="73">
        <f>IFERROR('Historical Analysis'!G11/'Historical Analysis'!G69,0)</f>
        <v>4.9222752423472365</v>
      </c>
      <c r="H36" s="73">
        <f>IFERROR('Historical Analysis'!H11/'Historical Analysis'!H69,0)</f>
        <v>5.551453822650064</v>
      </c>
      <c r="I36" s="73">
        <f>IFERROR('Historical Analysis'!I11/'Historical Analysis'!I69,0)</f>
        <v>6.2838978874396298</v>
      </c>
      <c r="J36" s="73">
        <f>IFERROR('Historical Analysis'!J11/'Historical Analysis'!J69,0)</f>
        <v>7.0497478505888305</v>
      </c>
      <c r="K36" s="73">
        <f>IFERROR('Historical Analysis'!K11/'Historical Analysis'!K69,0)</f>
        <v>3.6907196530260653</v>
      </c>
      <c r="L36" s="73">
        <f>IFERROR('Historical Analysis'!L11/'Historical Analysis'!L69,0)</f>
        <v>3.6809306850734926</v>
      </c>
      <c r="N36" s="73">
        <f t="shared" si="4"/>
        <v>5.1117065006902376</v>
      </c>
      <c r="O36" s="73">
        <f t="shared" si="5"/>
        <v>5.1024282744013192</v>
      </c>
      <c r="R36" s="26"/>
    </row>
    <row r="37" spans="2:18" x14ac:dyDescent="0.3">
      <c r="B37" s="70" t="s">
        <v>140</v>
      </c>
      <c r="C37" s="75">
        <f>IFERROR('Historical Analysis'!C11/SUM('Historical Analysis'!C63:C64),0)</f>
        <v>2.9262787998561652</v>
      </c>
      <c r="D37" s="75">
        <f>IFERROR('Historical Analysis'!D11/SUM('Historical Analysis'!D63:D64),0)</f>
        <v>3.0737803981773344</v>
      </c>
      <c r="E37" s="75">
        <f>IFERROR('Historical Analysis'!E11/SUM('Historical Analysis'!E63:E64),0)</f>
        <v>6.445929114530947</v>
      </c>
      <c r="F37" s="75">
        <f>IFERROR('Historical Analysis'!F11/SUM('Historical Analysis'!F63:F64),0)</f>
        <v>6.6110858003109927</v>
      </c>
      <c r="G37" s="75">
        <f>IFERROR('Historical Analysis'!G11/SUM('Historical Analysis'!G63:G64),0)</f>
        <v>7.5733361419661112</v>
      </c>
      <c r="H37" s="75">
        <f>IFERROR('Historical Analysis'!H11/SUM('Historical Analysis'!H63:H64),0)</f>
        <v>6.8710011914589062</v>
      </c>
      <c r="I37" s="75">
        <f>IFERROR('Historical Analysis'!I11/SUM('Historical Analysis'!I63:I64),0)</f>
        <v>7.7775428294912503</v>
      </c>
      <c r="J37" s="75">
        <f>IFERROR('Historical Analysis'!J11/SUM('Historical Analysis'!J63:J64),0)</f>
        <v>7.3016142405167486</v>
      </c>
      <c r="K37" s="75">
        <f>IFERROR('Historical Analysis'!K11/SUM('Historical Analysis'!K63:K64),0)</f>
        <v>4.9066854498864512</v>
      </c>
      <c r="L37" s="75">
        <f>IFERROR('Historical Analysis'!L11/SUM('Historical Analysis'!L63:L64),0)</f>
        <v>4.3611891720848934</v>
      </c>
      <c r="M37" s="70"/>
      <c r="N37" s="75">
        <f t="shared" si="4"/>
        <v>5.7848443138279801</v>
      </c>
      <c r="O37" s="75">
        <f t="shared" si="5"/>
        <v>6.5285074574209698</v>
      </c>
      <c r="R37" s="26"/>
    </row>
    <row r="38" spans="2:18" x14ac:dyDescent="0.3">
      <c r="C38" s="73"/>
      <c r="D38" s="73"/>
      <c r="E38" s="73"/>
      <c r="F38" s="73"/>
      <c r="G38" s="73"/>
      <c r="H38" s="73"/>
      <c r="I38" s="73"/>
      <c r="J38" s="73"/>
      <c r="K38" s="73"/>
      <c r="L38" s="73"/>
      <c r="N38" s="28"/>
      <c r="O38" s="28"/>
      <c r="R38" s="26"/>
    </row>
    <row r="39" spans="2:18" x14ac:dyDescent="0.3">
      <c r="B39" s="77" t="s">
        <v>158</v>
      </c>
      <c r="N39" s="28"/>
      <c r="R39" s="26"/>
    </row>
    <row r="40" spans="2:18" x14ac:dyDescent="0.3">
      <c r="B40" s="67" t="s">
        <v>622</v>
      </c>
      <c r="C40" s="78">
        <f>IFERROR(365/C33,0)</f>
        <v>3.2442904811381075</v>
      </c>
      <c r="D40" s="78">
        <f t="shared" ref="D40:L40" si="8">IFERROR(365/D33,0)</f>
        <v>4.0271220932549436</v>
      </c>
      <c r="E40" s="78">
        <f t="shared" si="8"/>
        <v>3.6689155866730268</v>
      </c>
      <c r="F40" s="78">
        <f t="shared" si="8"/>
        <v>4.5093119640929649</v>
      </c>
      <c r="G40" s="78">
        <f t="shared" si="8"/>
        <v>4.1096760713105782</v>
      </c>
      <c r="H40" s="78">
        <f t="shared" si="8"/>
        <v>4.1451154527204892</v>
      </c>
      <c r="I40" s="78">
        <f t="shared" si="8"/>
        <v>3.6619654611712664</v>
      </c>
      <c r="J40" s="78">
        <f t="shared" si="8"/>
        <v>4.4957118360376302</v>
      </c>
      <c r="K40" s="78">
        <f t="shared" si="8"/>
        <v>6.5613620928284737</v>
      </c>
      <c r="L40" s="78">
        <f t="shared" si="8"/>
        <v>5.1936353899441148</v>
      </c>
      <c r="M40" s="67"/>
      <c r="N40" s="78">
        <f t="shared" si="4"/>
        <v>4.361710642917159</v>
      </c>
      <c r="O40" s="78">
        <f t="shared" si="5"/>
        <v>4.1273957620155333</v>
      </c>
      <c r="R40" s="26"/>
    </row>
    <row r="41" spans="2:18" x14ac:dyDescent="0.3">
      <c r="B41" t="s">
        <v>623</v>
      </c>
      <c r="C41" s="79">
        <f t="shared" ref="C41:L41" si="9">IFERROR(365/C34,0)</f>
        <v>142.46362492007674</v>
      </c>
      <c r="D41" s="79">
        <f t="shared" si="9"/>
        <v>141.54886484294121</v>
      </c>
      <c r="E41" s="79">
        <f t="shared" si="9"/>
        <v>149.46943139648636</v>
      </c>
      <c r="F41" s="79">
        <f t="shared" si="9"/>
        <v>156.7418575089344</v>
      </c>
      <c r="G41" s="79">
        <f t="shared" si="9"/>
        <v>149.09653209267742</v>
      </c>
      <c r="H41" s="79">
        <f t="shared" si="9"/>
        <v>134.98897138893625</v>
      </c>
      <c r="I41" s="79">
        <f t="shared" si="9"/>
        <v>119.25480882345252</v>
      </c>
      <c r="J41" s="79">
        <f t="shared" si="9"/>
        <v>102.30998827985205</v>
      </c>
      <c r="K41" s="79">
        <f t="shared" si="9"/>
        <v>127.19611010238813</v>
      </c>
      <c r="L41" s="79">
        <f t="shared" si="9"/>
        <v>119.86283719001841</v>
      </c>
      <c r="N41" s="79">
        <f t="shared" si="4"/>
        <v>134.29330265457631</v>
      </c>
      <c r="O41" s="79">
        <f t="shared" si="5"/>
        <v>138.26891811593873</v>
      </c>
      <c r="R41" s="26"/>
    </row>
    <row r="42" spans="2:18" x14ac:dyDescent="0.3">
      <c r="B42" t="s">
        <v>142</v>
      </c>
      <c r="C42" s="79">
        <f t="shared" ref="C42:L42" si="10">IFERROR(365/C35,0)</f>
        <v>32.908562779731454</v>
      </c>
      <c r="D42" s="79">
        <f t="shared" si="10"/>
        <v>31.209468955311905</v>
      </c>
      <c r="E42" s="79">
        <f t="shared" si="10"/>
        <v>37.862748506334434</v>
      </c>
      <c r="F42" s="79">
        <f t="shared" si="10"/>
        <v>38.727643308666721</v>
      </c>
      <c r="G42" s="79">
        <f t="shared" si="10"/>
        <v>39.436498132028639</v>
      </c>
      <c r="H42" s="79">
        <f t="shared" si="10"/>
        <v>41.664361518284949</v>
      </c>
      <c r="I42" s="79">
        <f t="shared" si="10"/>
        <v>36.808010435891944</v>
      </c>
      <c r="J42" s="79">
        <f t="shared" si="10"/>
        <v>31.262598954082353</v>
      </c>
      <c r="K42" s="79">
        <f t="shared" si="10"/>
        <v>51.49607753064614</v>
      </c>
      <c r="L42" s="79">
        <f t="shared" si="10"/>
        <v>40.500172751850606</v>
      </c>
      <c r="N42" s="79">
        <f t="shared" si="4"/>
        <v>38.187614287282912</v>
      </c>
      <c r="O42" s="79">
        <f t="shared" si="5"/>
        <v>38.295195907500577</v>
      </c>
      <c r="R42" s="26"/>
    </row>
    <row r="43" spans="2:18" ht="25.8" customHeight="1" x14ac:dyDescent="0.3">
      <c r="B43" s="70" t="s">
        <v>143</v>
      </c>
      <c r="C43" s="80">
        <f>SUM(C42,C40)-C41</f>
        <v>-106.31077165920718</v>
      </c>
      <c r="D43" s="80">
        <f t="shared" ref="D43:L43" si="11">SUM(D42,D40)-D41</f>
        <v>-106.31227379437436</v>
      </c>
      <c r="E43" s="80">
        <f t="shared" si="11"/>
        <v>-107.93776730347889</v>
      </c>
      <c r="F43" s="80">
        <f t="shared" si="11"/>
        <v>-113.50490223617471</v>
      </c>
      <c r="G43" s="80">
        <f t="shared" si="11"/>
        <v>-105.5503578893382</v>
      </c>
      <c r="H43" s="80">
        <f t="shared" si="11"/>
        <v>-89.179494417930812</v>
      </c>
      <c r="I43" s="80">
        <f t="shared" si="11"/>
        <v>-78.784832926389313</v>
      </c>
      <c r="J43" s="80">
        <f t="shared" si="11"/>
        <v>-66.551677489732072</v>
      </c>
      <c r="K43" s="80">
        <f t="shared" si="11"/>
        <v>-69.138670478913525</v>
      </c>
      <c r="L43" s="80">
        <f t="shared" si="11"/>
        <v>-74.169029048223692</v>
      </c>
      <c r="M43" s="70"/>
      <c r="N43" s="80">
        <f t="shared" si="4"/>
        <v>-91.743977724376293</v>
      </c>
      <c r="O43" s="80">
        <f t="shared" si="5"/>
        <v>-97.364926153634514</v>
      </c>
      <c r="R43" s="20"/>
    </row>
    <row r="44" spans="2:18" x14ac:dyDescent="0.3">
      <c r="C44" s="66"/>
      <c r="D44" s="66"/>
      <c r="E44" s="66"/>
      <c r="F44" s="66"/>
      <c r="G44" s="66"/>
      <c r="H44" s="66"/>
      <c r="I44" s="66"/>
      <c r="J44" s="66"/>
      <c r="K44" s="66"/>
      <c r="L44" s="66"/>
      <c r="N44" s="28"/>
      <c r="R44" s="20"/>
    </row>
    <row r="45" spans="2:18" x14ac:dyDescent="0.3">
      <c r="B45" t="s">
        <v>154</v>
      </c>
      <c r="N45" s="28"/>
      <c r="O45" s="28"/>
    </row>
    <row r="46" spans="2:18" x14ac:dyDescent="0.3">
      <c r="B46" t="s">
        <v>144</v>
      </c>
      <c r="C46" s="73">
        <f>IFERROR('Historical Analysis'!C96/'Historical Analysis'!C11,0)</f>
        <v>0.21719149616368286</v>
      </c>
      <c r="D46" s="73">
        <f>IFERROR('Historical Analysis'!D96/'Historical Analysis'!D11,0)</f>
        <v>0.24769156245821256</v>
      </c>
      <c r="E46" s="73">
        <f>IFERROR('Historical Analysis'!E96/'Historical Analysis'!E11,0)</f>
        <v>0.27059803216130779</v>
      </c>
      <c r="F46" s="73">
        <f>IFERROR('Historical Analysis'!F96/'Historical Analysis'!F11,0)</f>
        <v>0.23445640197063228</v>
      </c>
      <c r="G46" s="73">
        <f>IFERROR('Historical Analysis'!G96/'Historical Analysis'!G11,0)</f>
        <v>0.22081884103689201</v>
      </c>
      <c r="H46" s="73">
        <f>IFERROR('Historical Analysis'!H96/'Historical Analysis'!H11,0)</f>
        <v>0.16517764142188893</v>
      </c>
      <c r="I46" s="73">
        <f>IFERROR('Historical Analysis'!I96/'Historical Analysis'!I11,0)</f>
        <v>0.18550373046538013</v>
      </c>
      <c r="J46" s="73">
        <f>IFERROR('Historical Analysis'!J96/'Historical Analysis'!J11,0)</f>
        <v>0.18508733129484473</v>
      </c>
      <c r="K46" s="73">
        <f>IFERROR('Historical Analysis'!K96/'Historical Analysis'!K11,0)</f>
        <v>0.25859389076883171</v>
      </c>
      <c r="L46" s="73">
        <f>IFERROR('Historical Analysis'!L96/'Historical Analysis'!L11,0)</f>
        <v>0.13725134530503658</v>
      </c>
      <c r="N46" s="73">
        <f t="shared" si="4"/>
        <v>0.21223702730467098</v>
      </c>
      <c r="O46" s="73">
        <f t="shared" si="5"/>
        <v>0.21900516860028743</v>
      </c>
      <c r="R46" s="60"/>
    </row>
    <row r="47" spans="2:18" x14ac:dyDescent="0.3">
      <c r="B47" t="s">
        <v>145</v>
      </c>
      <c r="C47" s="73">
        <f>IFERROR('Historical Analysis'!C96/'Historical Analysis'!C80,0)</f>
        <v>0.29527652633108731</v>
      </c>
      <c r="D47" s="73">
        <f>IFERROR('Historical Analysis'!D96/'Historical Analysis'!D80,0)</f>
        <v>0.34581754878784587</v>
      </c>
      <c r="E47" s="73">
        <f>IFERROR('Historical Analysis'!E96/'Historical Analysis'!E80,0)</f>
        <v>0.46661480508689607</v>
      </c>
      <c r="F47" s="73">
        <f>IFERROR('Historical Analysis'!F96/'Historical Analysis'!F80,0)</f>
        <v>0.3962160732075653</v>
      </c>
      <c r="G47" s="73">
        <f>IFERROR('Historical Analysis'!G96/'Historical Analysis'!G80,0)</f>
        <v>0.39530587930965377</v>
      </c>
      <c r="H47" s="73">
        <f>IFERROR('Historical Analysis'!H96/'Historical Analysis'!H80,0)</f>
        <v>0.31084539701561681</v>
      </c>
      <c r="I47" s="73">
        <f>IFERROR('Historical Analysis'!I96/'Historical Analysis'!I80,0)</f>
        <v>0.39515566772175154</v>
      </c>
      <c r="J47" s="73">
        <f>IFERROR('Historical Analysis'!J96/'Historical Analysis'!J80,0)</f>
        <v>0.4290577075489449</v>
      </c>
      <c r="K47" s="73">
        <f>IFERROR('Historical Analysis'!K96/'Historical Analysis'!K80,0)</f>
        <v>0.4238921314617381</v>
      </c>
      <c r="L47" s="73">
        <f>IFERROR('Historical Analysis'!L96/'Historical Analysis'!L80,0)</f>
        <v>0.23792465020659317</v>
      </c>
      <c r="N47" s="73">
        <f t="shared" si="4"/>
        <v>0.36961063866776928</v>
      </c>
      <c r="O47" s="73">
        <f t="shared" si="5"/>
        <v>0.39523077351570268</v>
      </c>
      <c r="R47" s="60"/>
    </row>
    <row r="48" spans="2:18" x14ac:dyDescent="0.3">
      <c r="B48" s="70" t="s">
        <v>146</v>
      </c>
      <c r="C48" s="75">
        <f>IFERROR('Historical Analysis'!C96/'Historical Analysis'!C65,0)</f>
        <v>61.866818440523616</v>
      </c>
      <c r="D48" s="75">
        <f>IFERROR('Historical Analysis'!D96/'Historical Analysis'!D65,0)</f>
        <v>79.595902105862265</v>
      </c>
      <c r="E48" s="75">
        <f>IFERROR('Historical Analysis'!E96/'Historical Analysis'!E65,0)</f>
        <v>17.714618397374828</v>
      </c>
      <c r="F48" s="75">
        <f>IFERROR('Historical Analysis'!F96/'Historical Analysis'!F65,0)</f>
        <v>21.221777747643905</v>
      </c>
      <c r="G48" s="75">
        <f>IFERROR('Historical Analysis'!G96/'Historical Analysis'!G65,0)</f>
        <v>12.215717180815133</v>
      </c>
      <c r="H48" s="75">
        <f>IFERROR('Historical Analysis'!H96/'Historical Analysis'!H65,0)</f>
        <v>10.317166937749521</v>
      </c>
      <c r="I48" s="75">
        <f>IFERROR('Historical Analysis'!I96/'Historical Analysis'!I65,0)</f>
        <v>13.115481295283159</v>
      </c>
      <c r="J48" s="75">
        <f>IFERROR('Historical Analysis'!J96/'Historical Analysis'!J65,0)</f>
        <v>13.10480945055583</v>
      </c>
      <c r="K48" s="75">
        <f>IFERROR('Historical Analysis'!K96/'Historical Analysis'!K65,0)</f>
        <v>4.4770107554527145</v>
      </c>
      <c r="L48" s="75">
        <f>IFERROR('Historical Analysis'!L96/'Historical Analysis'!L65,0)</f>
        <v>7.155079250720461</v>
      </c>
      <c r="M48" s="70"/>
      <c r="N48" s="75">
        <f t="shared" si="4"/>
        <v>24.078438156198139</v>
      </c>
      <c r="O48" s="75">
        <f t="shared" si="5"/>
        <v>13.110145372919494</v>
      </c>
    </row>
    <row r="49" spans="14:18" x14ac:dyDescent="0.3">
      <c r="N49" s="28"/>
      <c r="R49" s="26"/>
    </row>
    <row r="50" spans="14:18" x14ac:dyDescent="0.3">
      <c r="R50" s="22"/>
    </row>
    <row r="51" spans="14:18" x14ac:dyDescent="0.3">
      <c r="R51" s="22"/>
    </row>
    <row r="52" spans="14:18" x14ac:dyDescent="0.3">
      <c r="R52" s="22"/>
    </row>
    <row r="53" spans="14:18" x14ac:dyDescent="0.3">
      <c r="R53" s="22"/>
    </row>
    <row r="56" spans="14:18" x14ac:dyDescent="0.3">
      <c r="R56" s="20"/>
    </row>
  </sheetData>
  <mergeCells count="1">
    <mergeCell ref="B7:L7"/>
  </mergeCells>
  <pageMargins left="0.7" right="0.7" top="0.75" bottom="0.75" header="0.3" footer="0.3"/>
  <pageSetup paperSize="121" orientation="landscape" r:id="rId1"/>
  <drawing r:id="rId2"/>
  <extLst>
    <ext xmlns:x14="http://schemas.microsoft.com/office/spreadsheetml/2009/9/main" uri="{05C60535-1F16-4fd2-B633-F4F36F0B64E0}">
      <x14:sparklineGroups xmlns:xm="http://schemas.microsoft.com/office/excel/2006/main">
        <x14:sparklineGroup displayEmptyCellsAs="gap" markers="1" low="1" xr2:uid="{C1EED6FB-E4B8-4B45-AF22-484893E3AD56}">
          <x14:colorSeries rgb="FF0070C0"/>
          <x14:colorNegative rgb="FF000000"/>
          <x14:colorAxis rgb="FF000000"/>
          <x14:colorMarkers rgb="FF002060"/>
          <x14:colorFirst rgb="FF000000"/>
          <x14:colorLast rgb="FF000000"/>
          <x14:colorHigh rgb="FF000000"/>
          <x14:colorLow rgb="FF000000"/>
          <x14:sparklines>
            <x14:sparkline>
              <xm:f>'Ratio Analysis'!C40:L40</xm:f>
              <xm:sqref>M40</xm:sqref>
            </x14:sparkline>
          </x14:sparklines>
        </x14:sparklineGroup>
        <x14:sparklineGroup displayEmptyCellsAs="gap" markers="1" low="1" xr2:uid="{20E74B36-7864-4A60-9AAC-2F6B9B44B8C0}">
          <x14:colorSeries rgb="FF0070C0"/>
          <x14:colorNegative rgb="FF000000"/>
          <x14:colorAxis rgb="FF000000"/>
          <x14:colorMarkers rgb="FF002060"/>
          <x14:colorFirst rgb="FF000000"/>
          <x14:colorLast rgb="FF000000"/>
          <x14:colorHigh rgb="FF000000"/>
          <x14:colorLow rgb="FF000000"/>
          <x14:sparklines>
            <x14:sparkline>
              <xm:f>'Ratio Analysis'!C41:L41</xm:f>
              <xm:sqref>M41</xm:sqref>
            </x14:sparkline>
            <x14:sparkline>
              <xm:f>'Ratio Analysis'!C42:L42</xm:f>
              <xm:sqref>M42</xm:sqref>
            </x14:sparkline>
            <x14:sparkline>
              <xm:f>'Ratio Analysis'!C43:L43</xm:f>
              <xm:sqref>M43</xm:sqref>
            </x14:sparkline>
          </x14:sparklines>
        </x14:sparklineGroup>
        <x14:sparklineGroup displayEmptyCellsAs="gap" markers="1" low="1" xr2:uid="{8AEB287A-2E5E-4D9F-AD80-2D16EA9733AC}">
          <x14:colorSeries rgb="FF0070C0"/>
          <x14:colorNegative rgb="FF000000"/>
          <x14:colorAxis rgb="FF000000"/>
          <x14:colorMarkers rgb="FF002060"/>
          <x14:colorFirst rgb="FF000000"/>
          <x14:colorLast rgb="FF000000"/>
          <x14:colorHigh rgb="FF000000"/>
          <x14:colorLow rgb="FF000000"/>
          <x14:sparklines>
            <x14:sparkline>
              <xm:f>'Ratio Analysis'!C46:L46</xm:f>
              <xm:sqref>M46</xm:sqref>
            </x14:sparkline>
          </x14:sparklines>
        </x14:sparklineGroup>
        <x14:sparklineGroup displayEmptyCellsAs="gap" markers="1" low="1" xr2:uid="{F4D4757D-0F53-4C8C-94FE-125025BCEF85}">
          <x14:colorSeries rgb="FF0070C0"/>
          <x14:colorNegative rgb="FF000000"/>
          <x14:colorAxis rgb="FF000000"/>
          <x14:colorMarkers rgb="FF002060"/>
          <x14:colorFirst rgb="FF000000"/>
          <x14:colorLast rgb="FF000000"/>
          <x14:colorHigh rgb="FF000000"/>
          <x14:colorLow rgb="FF000000"/>
          <x14:sparklines>
            <x14:sparkline>
              <xm:f>'Ratio Analysis'!C47:L47</xm:f>
              <xm:sqref>M47</xm:sqref>
            </x14:sparkline>
            <x14:sparkline>
              <xm:f>'Ratio Analysis'!C48:L48</xm:f>
              <xm:sqref>M48</xm:sqref>
            </x14:sparkline>
          </x14:sparklines>
        </x14:sparklineGroup>
        <x14:sparklineGroup displayEmptyCellsAs="gap" markers="1" low="1" xr2:uid="{ED0A3F4F-1BB6-4510-8C1C-F3FCD3FC180B}">
          <x14:colorSeries rgb="FF0070C0"/>
          <x14:colorNegative rgb="FF000000"/>
          <x14:colorAxis rgb="FF000000"/>
          <x14:colorMarkers rgb="FF002060"/>
          <x14:colorFirst rgb="FF000000"/>
          <x14:colorLast rgb="FF000000"/>
          <x14:colorHigh rgb="FF000000"/>
          <x14:colorLow rgb="FF000000"/>
          <x14:sparklines>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s>
        </x14:sparklineGroup>
        <x14:sparklineGroup displayEmptyCellsAs="gap" markers="1" low="1" xr2:uid="{16C29586-B015-4F62-A54C-8FD092EAC57E}">
          <x14:colorSeries rgb="FF0070C0"/>
          <x14:colorNegative rgb="FF000000"/>
          <x14:colorAxis rgb="FF000000"/>
          <x14:colorMarkers rgb="FF002060"/>
          <x14:colorFirst rgb="FF000000"/>
          <x14:colorLast rgb="FF000000"/>
          <x14:colorHigh rgb="FF000000"/>
          <x14:colorLow rgb="FF000000"/>
          <x14:sparklines>
            <x14:sparkline>
              <xm:f>'Ratio Analysis'!C33:L33</xm:f>
              <xm:sqref>M33</xm:sqref>
            </x14:sparkline>
          </x14:sparklines>
        </x14:sparklineGroup>
        <x14:sparklineGroup displayEmptyCellsAs="gap" markers="1" low="1" xr2:uid="{80FC6FCA-BD10-4556-B134-0490C832C5E5}">
          <x14:colorSeries rgb="FF0070C0"/>
          <x14:colorNegative rgb="FF000000"/>
          <x14:colorAxis rgb="FF000000"/>
          <x14:colorMarkers rgb="FF002060"/>
          <x14:colorFirst rgb="FF000000"/>
          <x14:colorLast rgb="FF000000"/>
          <x14:colorHigh rgb="FF000000"/>
          <x14:colorLow rgb="FF000000"/>
          <x14:sparklines>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s>
        </x14:sparklineGroup>
        <x14:sparklineGroup displayEmptyCellsAs="gap" markers="1" low="1" xr2:uid="{691D71FC-AE04-4F9E-9CA3-5BD9825461DF}">
          <x14:colorSeries rgb="FF0070C0"/>
          <x14:colorNegative rgb="FF000000"/>
          <x14:colorAxis rgb="FF000000"/>
          <x14:colorMarkers rgb="FF002060"/>
          <x14:colorFirst rgb="FF000000"/>
          <x14:colorLast rgb="FF000000"/>
          <x14:colorHigh rgb="FF000000"/>
          <x14:colorLow rgb="FF000000"/>
          <x14:sparklines>
            <x14:sparkline>
              <xm:f>'Ratio Analysis'!C26:L26</xm:f>
              <xm:sqref>M26</xm:sqref>
            </x14:sparkline>
          </x14:sparklines>
        </x14:sparklineGroup>
        <x14:sparklineGroup displayEmptyCellsAs="gap" markers="1" low="1" xr2:uid="{52548A19-35FD-4FE7-B061-BCE427FC960F}">
          <x14:colorSeries rgb="FF0070C0"/>
          <x14:colorNegative rgb="FF000000"/>
          <x14:colorAxis rgb="FF000000"/>
          <x14:colorMarkers rgb="FF002060"/>
          <x14:colorFirst rgb="FF000000"/>
          <x14:colorLast rgb="FF000000"/>
          <x14:colorHigh rgb="FF000000"/>
          <x14:colorLow rgb="FF000000"/>
          <x14:sparklines>
            <x14:sparkline>
              <xm:f>'Ratio Analysis'!C23:L23</xm:f>
              <xm:sqref>M23</xm:sqref>
            </x14:sparkline>
            <x14:sparkline>
              <xm:f>'Ratio Analysis'!C24:L24</xm:f>
              <xm:sqref>M24</xm:sqref>
            </x14:sparkline>
          </x14:sparklines>
        </x14:sparklineGroup>
        <x14:sparklineGroup displayEmptyCellsAs="gap" markers="1" low="1" xr2:uid="{F1E6E529-B4FB-4041-8668-3A676F4B8195}">
          <x14:colorSeries rgb="FF0070C0"/>
          <x14:colorNegative rgb="FF000000"/>
          <x14:colorAxis rgb="FF000000"/>
          <x14:colorMarkers rgb="FF002060"/>
          <x14:colorFirst rgb="FF000000"/>
          <x14:colorLast rgb="FF000000"/>
          <x14:colorHigh rgb="FF000000"/>
          <x14:colorLow rgb="FF000000"/>
          <x14:sparklines>
            <x14:sparkline>
              <xm:f>'Ratio Analysis'!C22:L22</xm:f>
              <xm:sqref>M22</xm:sqref>
            </x14:sparkline>
          </x14:sparklines>
        </x14:sparklineGroup>
        <x14:sparklineGroup displayEmptyCellsAs="gap" markers="1" low="1" xr2:uid="{DE854DAE-8899-4C4C-B7D1-0AABAC804369}">
          <x14:colorSeries rgb="FF0070C0"/>
          <x14:colorNegative rgb="FF000000"/>
          <x14:colorAxis rgb="FF000000"/>
          <x14:colorMarkers rgb="FF002060"/>
          <x14:colorFirst rgb="FF000000"/>
          <x14:colorLast rgb="FF000000"/>
          <x14:colorHigh rgb="FF000000"/>
          <x14:colorLow rgb="FF000000"/>
          <x14:sparklines>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s>
        </x14:sparklineGroup>
        <x14:sparklineGroup displayEmptyCellsAs="gap" markers="1" low="1" xr2:uid="{12F72AB8-69E4-473A-9872-6EDADCEB597A}">
          <x14:colorSeries rgb="FF0070C0"/>
          <x14:colorNegative rgb="FF000000"/>
          <x14:colorAxis rgb="FF000000"/>
          <x14:colorMarkers rgb="FF002060"/>
          <x14:colorFirst rgb="FF000000"/>
          <x14:colorLast rgb="FF000000"/>
          <x14:colorHigh rgb="FF000000"/>
          <x14:colorLow rgb="FF000000"/>
          <x14:sparklines>
            <x14:sparkline>
              <xm:f>'Ratio Analysis'!C16:L16</xm:f>
              <xm:sqref>M16</xm:sqref>
            </x14:sparkline>
          </x14:sparklines>
        </x14:sparklineGroup>
        <x14:sparklineGroup displayEmptyCellsAs="gap" markers="1" low="1" xr2:uid="{E6F85219-63AB-40B5-AC72-4926C8FBAA94}">
          <x14:colorSeries rgb="FF0070C0"/>
          <x14:colorNegative rgb="FF000000"/>
          <x14:colorAxis rgb="FF000000"/>
          <x14:colorMarkers rgb="FF002060"/>
          <x14:colorFirst rgb="FF000000"/>
          <x14:colorLast rgb="FF000000"/>
          <x14:colorHigh rgb="FF000000"/>
          <x14:colorLow rgb="FF000000"/>
          <x14:sparklines>
            <x14:sparkline>
              <xm:f>'Ratio Analysis'!D10:L10</xm:f>
              <xm:sqref>M10</xm:sqref>
            </x14:sparkline>
          </x14:sparklines>
        </x14:sparklineGroup>
        <x14:sparklineGroup displayEmptyCellsAs="gap" markers="1" low="1" xr2:uid="{484D8519-4B07-4835-B486-92B4BDC790AA}">
          <x14:colorSeries rgb="FF0070C0"/>
          <x14:colorNegative rgb="FF000000"/>
          <x14:colorAxis rgb="FF000000"/>
          <x14:colorMarkers rgb="FF002060"/>
          <x14:colorFirst rgb="FF000000"/>
          <x14:colorLast rgb="FF000000"/>
          <x14:colorHigh rgb="FF000000"/>
          <x14:colorLow rgb="FF000000"/>
          <x14:sparklines>
            <x14:sparkline>
              <xm:f>'Ratio Analysis'!D11:L11</xm:f>
              <xm:sqref>M11</xm:sqref>
            </x14:sparkline>
            <x14:sparkline>
              <xm:f>'Ratio Analysis'!D12:L12</xm:f>
              <xm:sqref>M12</xm:sqref>
            </x14:sparkline>
            <x14:sparkline>
              <xm:f>'Ratio Analysis'!D13:L13</xm:f>
              <xm:sqref>M13</xm:sqref>
            </x14:sparkline>
            <x14:sparkline>
              <xm:f>'Ratio Analysis'!D14:L14</xm:f>
              <xm:sqref>M14</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264B2-74AF-4863-B33B-32BC59D6C5BC}">
  <sheetPr>
    <tabColor rgb="FF002060"/>
    <pageSetUpPr fitToPage="1"/>
  </sheetPr>
  <dimension ref="A1:Q27"/>
  <sheetViews>
    <sheetView showGridLines="0" zoomScale="87" workbookViewId="0">
      <selection activeCell="G4" sqref="G4"/>
    </sheetView>
  </sheetViews>
  <sheetFormatPr defaultRowHeight="14.4" x14ac:dyDescent="0.3"/>
  <cols>
    <col min="1" max="1" width="12.33203125" customWidth="1"/>
    <col min="2" max="2" width="16.44140625" customWidth="1"/>
    <col min="3" max="3" width="9.44140625" bestFit="1" customWidth="1"/>
    <col min="4" max="4" width="9.77734375" customWidth="1"/>
    <col min="5" max="5" width="13.5546875" customWidth="1"/>
    <col min="7" max="7" width="8.88671875" customWidth="1"/>
    <col min="8" max="8" width="15.109375" customWidth="1"/>
    <col min="9" max="9" width="15" customWidth="1"/>
    <col min="10" max="10" width="13.77734375" customWidth="1"/>
    <col min="11" max="11" width="16.88671875" customWidth="1"/>
    <col min="13" max="13" width="13.88671875" customWidth="1"/>
    <col min="15" max="15" width="12.33203125" customWidth="1"/>
    <col min="16" max="16" width="15.21875" customWidth="1"/>
    <col min="17" max="17" width="10.88671875" customWidth="1"/>
  </cols>
  <sheetData>
    <row r="1" spans="1:17" ht="11.4" customHeight="1" x14ac:dyDescent="0.3">
      <c r="A1" s="252"/>
      <c r="B1" s="252"/>
      <c r="C1" s="252"/>
      <c r="D1" s="252"/>
      <c r="E1" s="252"/>
      <c r="F1" s="252"/>
      <c r="G1" s="252"/>
      <c r="H1" s="252"/>
      <c r="I1" s="252"/>
      <c r="J1" s="252"/>
      <c r="K1" s="252"/>
      <c r="L1" s="252"/>
      <c r="M1" s="252"/>
      <c r="N1" s="252"/>
      <c r="O1" s="252"/>
      <c r="P1" s="252"/>
      <c r="Q1" s="252"/>
    </row>
    <row r="7" spans="1:17" ht="19.8" x14ac:dyDescent="0.4">
      <c r="B7" s="359" t="str">
        <f>'Data Sheet'!B1&amp;" - " &amp;'Data Sheet'!A17  &amp;"  Forecasting"</f>
        <v>NESTLE INDIA LTD - Sales  Forecasting</v>
      </c>
      <c r="C7" s="359"/>
      <c r="D7" s="359"/>
      <c r="E7" s="359"/>
      <c r="H7" s="359" t="str">
        <f>'Data Sheet'!B1 &amp;" - " &amp;'Data Sheet'!A18&amp;"  Forecasting"</f>
        <v>NESTLE INDIA LTD - Raw Material Cost  Forecasting</v>
      </c>
      <c r="I7" s="359"/>
      <c r="J7" s="359"/>
      <c r="K7" s="359"/>
      <c r="M7" s="360" t="str">
        <f>'Data Sheet'!B1&amp; " - " &amp;'Data Sheet'!A28&amp; " Forecasting"</f>
        <v>NESTLE INDIA LTD - Profit before tax Forecasting</v>
      </c>
      <c r="N7" s="360"/>
      <c r="O7" s="360"/>
      <c r="P7" s="360"/>
      <c r="Q7" s="360"/>
    </row>
    <row r="8" spans="1:17" x14ac:dyDescent="0.3">
      <c r="A8" t="s">
        <v>55</v>
      </c>
      <c r="B8" s="99" t="s">
        <v>161</v>
      </c>
      <c r="C8" s="99" t="s">
        <v>54</v>
      </c>
      <c r="D8" s="99" t="s">
        <v>160</v>
      </c>
      <c r="E8" s="99" t="s">
        <v>56</v>
      </c>
      <c r="H8" s="84" t="s">
        <v>161</v>
      </c>
      <c r="I8" s="84" t="s">
        <v>54</v>
      </c>
      <c r="J8" s="84" t="s">
        <v>58</v>
      </c>
      <c r="K8" s="84" t="s">
        <v>211</v>
      </c>
      <c r="M8" s="84" t="s">
        <v>161</v>
      </c>
      <c r="N8" s="84" t="s">
        <v>54</v>
      </c>
      <c r="O8" s="84" t="s">
        <v>212</v>
      </c>
      <c r="P8" s="84" t="s">
        <v>213</v>
      </c>
    </row>
    <row r="9" spans="1:17" x14ac:dyDescent="0.3">
      <c r="B9" s="100">
        <v>1</v>
      </c>
      <c r="C9" s="101">
        <f>'Data Sheet'!B16</f>
        <v>43100</v>
      </c>
      <c r="D9" s="102">
        <f t="array" ref="D9:D18">TRANSPOSE('Data Sheet'!B17:K17)</f>
        <v>10009.6</v>
      </c>
      <c r="E9" s="103"/>
      <c r="H9">
        <v>1</v>
      </c>
      <c r="I9" s="110">
        <v>43100</v>
      </c>
      <c r="J9">
        <f t="array" ref="J9:J18">TRANSPOSE('Data Sheet'!B18:K18)</f>
        <v>3696.99</v>
      </c>
      <c r="M9">
        <v>1</v>
      </c>
      <c r="N9" s="110">
        <v>43100</v>
      </c>
      <c r="O9">
        <f t="array" ref="O9:O18">TRANSPOSE('Data Sheet'!B28:K28)</f>
        <v>1839.3</v>
      </c>
      <c r="Q9" s="36"/>
    </row>
    <row r="10" spans="1:17" x14ac:dyDescent="0.3">
      <c r="B10" s="103">
        <f>B9+1</f>
        <v>2</v>
      </c>
      <c r="C10" s="104">
        <f>365+C9</f>
        <v>43465</v>
      </c>
      <c r="D10" s="102">
        <v>11292.27</v>
      </c>
      <c r="E10" s="105">
        <f>D10/D9-1</f>
        <v>0.12814398177749364</v>
      </c>
      <c r="H10">
        <v>2</v>
      </c>
      <c r="I10" s="110">
        <v>43465</v>
      </c>
      <c r="J10">
        <v>3829.22</v>
      </c>
      <c r="K10" s="59">
        <f>J10/J9-1</f>
        <v>3.5766934722571531E-2</v>
      </c>
      <c r="M10">
        <v>2</v>
      </c>
      <c r="N10" s="110">
        <v>43465</v>
      </c>
      <c r="O10">
        <v>2428.9499999999998</v>
      </c>
      <c r="P10" s="59">
        <f>O10/O9-1</f>
        <v>0.3205839177948131</v>
      </c>
    </row>
    <row r="11" spans="1:17" x14ac:dyDescent="0.3">
      <c r="B11" s="103">
        <f t="shared" ref="B11:B23" si="0">B10+1</f>
        <v>3</v>
      </c>
      <c r="C11" s="104">
        <f t="shared" ref="C11:C23" si="1">365+C10</f>
        <v>43830</v>
      </c>
      <c r="D11" s="102">
        <v>12368.9</v>
      </c>
      <c r="E11" s="105">
        <f t="shared" ref="E11:E23" si="2">D11/D10-1</f>
        <v>9.5342211973323376E-2</v>
      </c>
      <c r="H11">
        <v>3</v>
      </c>
      <c r="I11" s="110">
        <v>43830</v>
      </c>
      <c r="J11">
        <v>4520.91</v>
      </c>
      <c r="K11" s="59">
        <f t="shared" ref="K11:K23" si="3">J11/J10-1</f>
        <v>0.18063469845033708</v>
      </c>
      <c r="M11">
        <v>3</v>
      </c>
      <c r="N11" s="110">
        <v>43830</v>
      </c>
      <c r="O11">
        <v>2673.49</v>
      </c>
      <c r="P11" s="59">
        <f t="shared" ref="P11:P23" si="4">O11/O10-1</f>
        <v>0.10067724737026285</v>
      </c>
    </row>
    <row r="12" spans="1:17" x14ac:dyDescent="0.3">
      <c r="B12" s="103">
        <f t="shared" si="0"/>
        <v>4</v>
      </c>
      <c r="C12" s="104">
        <f t="shared" si="1"/>
        <v>44195</v>
      </c>
      <c r="D12" s="102">
        <v>13350.03</v>
      </c>
      <c r="E12" s="105">
        <f t="shared" si="2"/>
        <v>7.932233262456645E-2</v>
      </c>
      <c r="H12">
        <v>4</v>
      </c>
      <c r="I12" s="110">
        <v>44195</v>
      </c>
      <c r="J12">
        <v>4901.74</v>
      </c>
      <c r="K12" s="59">
        <f t="shared" si="3"/>
        <v>8.4237465466023398E-2</v>
      </c>
      <c r="M12">
        <v>4</v>
      </c>
      <c r="N12" s="110">
        <v>44195</v>
      </c>
      <c r="O12">
        <v>2812.79</v>
      </c>
      <c r="P12" s="59">
        <f t="shared" si="4"/>
        <v>5.2104178433433512E-2</v>
      </c>
    </row>
    <row r="13" spans="1:17" x14ac:dyDescent="0.3">
      <c r="B13" s="103">
        <f t="shared" si="0"/>
        <v>5</v>
      </c>
      <c r="C13" s="104">
        <f t="shared" si="1"/>
        <v>44560</v>
      </c>
      <c r="D13" s="102">
        <v>14740.59</v>
      </c>
      <c r="E13" s="105">
        <f t="shared" si="2"/>
        <v>0.10416156368187934</v>
      </c>
      <c r="H13">
        <v>5</v>
      </c>
      <c r="I13" s="110">
        <v>44560</v>
      </c>
      <c r="J13">
        <v>5301.26</v>
      </c>
      <c r="K13" s="59">
        <f t="shared" si="3"/>
        <v>8.1505751019026018E-2</v>
      </c>
      <c r="M13">
        <v>5</v>
      </c>
      <c r="N13" s="110">
        <v>44560</v>
      </c>
      <c r="O13">
        <v>2857.32</v>
      </c>
      <c r="P13" s="59">
        <f t="shared" si="4"/>
        <v>1.5831256510439928E-2</v>
      </c>
    </row>
    <row r="14" spans="1:17" x14ac:dyDescent="0.3">
      <c r="B14" s="103">
        <f t="shared" si="0"/>
        <v>6</v>
      </c>
      <c r="C14" s="104">
        <f t="shared" si="1"/>
        <v>44925</v>
      </c>
      <c r="D14" s="102">
        <v>16896.96</v>
      </c>
      <c r="E14" s="105">
        <f t="shared" si="2"/>
        <v>0.14628790299438488</v>
      </c>
      <c r="H14">
        <v>6</v>
      </c>
      <c r="I14" s="110">
        <v>44925</v>
      </c>
      <c r="J14">
        <v>6660.42</v>
      </c>
      <c r="K14" s="59">
        <f t="shared" si="3"/>
        <v>0.25638433127218807</v>
      </c>
      <c r="M14">
        <v>6</v>
      </c>
      <c r="N14" s="110">
        <v>44925</v>
      </c>
      <c r="O14">
        <v>3255.97</v>
      </c>
      <c r="P14" s="59">
        <f t="shared" si="4"/>
        <v>0.13951884983131024</v>
      </c>
    </row>
    <row r="15" spans="1:17" x14ac:dyDescent="0.3">
      <c r="B15" s="103">
        <f t="shared" si="0"/>
        <v>7</v>
      </c>
      <c r="C15" s="104">
        <f t="shared" si="1"/>
        <v>45290</v>
      </c>
      <c r="D15" s="102">
        <v>19126.3</v>
      </c>
      <c r="E15" s="105">
        <f t="shared" si="2"/>
        <v>0.13193734257523237</v>
      </c>
      <c r="H15">
        <v>7</v>
      </c>
      <c r="I15" s="110">
        <v>45290</v>
      </c>
      <c r="J15">
        <v>8472.7199999999993</v>
      </c>
      <c r="K15" s="59">
        <f t="shared" si="3"/>
        <v>0.27209995766032757</v>
      </c>
      <c r="M15">
        <v>7</v>
      </c>
      <c r="N15" s="110">
        <v>45290</v>
      </c>
      <c r="O15">
        <v>4038.29</v>
      </c>
      <c r="P15" s="59">
        <f t="shared" si="4"/>
        <v>0.24027248408308433</v>
      </c>
    </row>
    <row r="16" spans="1:17" x14ac:dyDescent="0.3">
      <c r="B16" s="103">
        <f t="shared" si="0"/>
        <v>8</v>
      </c>
      <c r="C16" s="104">
        <f t="shared" si="1"/>
        <v>45655</v>
      </c>
      <c r="D16" s="102">
        <v>24393.89</v>
      </c>
      <c r="E16" s="105">
        <f t="shared" si="2"/>
        <v>0.27541082174806419</v>
      </c>
      <c r="H16">
        <v>8</v>
      </c>
      <c r="I16" s="110">
        <v>45655</v>
      </c>
      <c r="J16">
        <v>9201.11</v>
      </c>
      <c r="K16" s="59">
        <f t="shared" si="3"/>
        <v>8.5968850617039294E-2</v>
      </c>
      <c r="M16">
        <v>8</v>
      </c>
      <c r="N16" s="110">
        <v>45655</v>
      </c>
      <c r="O16">
        <v>5288.87</v>
      </c>
      <c r="P16" s="59">
        <f t="shared" si="4"/>
        <v>0.30968058262284281</v>
      </c>
    </row>
    <row r="17" spans="1:16" x14ac:dyDescent="0.3">
      <c r="B17" s="103">
        <f t="shared" si="0"/>
        <v>9</v>
      </c>
      <c r="C17" s="104">
        <f t="shared" si="1"/>
        <v>46020</v>
      </c>
      <c r="D17" s="102">
        <v>20201.560000000001</v>
      </c>
      <c r="E17" s="105">
        <f t="shared" si="2"/>
        <v>-0.1718598386727167</v>
      </c>
      <c r="H17">
        <v>9</v>
      </c>
      <c r="I17" s="110">
        <v>46020</v>
      </c>
      <c r="J17">
        <v>7646.63</v>
      </c>
      <c r="K17" s="59">
        <f t="shared" si="3"/>
        <v>-0.16894483382983139</v>
      </c>
      <c r="M17">
        <v>9</v>
      </c>
      <c r="N17" s="110">
        <v>46020</v>
      </c>
      <c r="O17">
        <v>4447.47</v>
      </c>
      <c r="P17" s="59">
        <f t="shared" si="4"/>
        <v>-0.1590888034684157</v>
      </c>
    </row>
    <row r="18" spans="1:16" x14ac:dyDescent="0.3">
      <c r="B18" s="103">
        <f t="shared" si="0"/>
        <v>10</v>
      </c>
      <c r="C18" s="104">
        <f t="shared" si="1"/>
        <v>46385</v>
      </c>
      <c r="D18" s="102">
        <v>23154.6</v>
      </c>
      <c r="E18" s="105">
        <f t="shared" si="2"/>
        <v>0.14617880995329058</v>
      </c>
      <c r="H18" s="114">
        <v>10</v>
      </c>
      <c r="I18" s="115">
        <v>46385</v>
      </c>
      <c r="J18" s="114">
        <v>9113.9599999999991</v>
      </c>
      <c r="K18" s="116">
        <f t="shared" si="3"/>
        <v>0.19189237611862997</v>
      </c>
      <c r="M18" s="114">
        <v>10</v>
      </c>
      <c r="N18" s="115">
        <v>46385</v>
      </c>
      <c r="O18" s="114">
        <v>4609.6499999999996</v>
      </c>
      <c r="P18" s="116">
        <f t="shared" si="4"/>
        <v>3.6465675991068869E-2</v>
      </c>
    </row>
    <row r="19" spans="1:16" x14ac:dyDescent="0.3">
      <c r="B19" s="106">
        <f t="shared" si="0"/>
        <v>11</v>
      </c>
      <c r="C19" s="107">
        <f t="shared" si="1"/>
        <v>46750</v>
      </c>
      <c r="D19" s="108">
        <f>FORECAST(B19,$D$9:$D$18,$B$9:$B$18)</f>
        <v>25229.475333333336</v>
      </c>
      <c r="E19" s="109">
        <f>D19/D18-1</f>
        <v>8.9609638401584979E-2</v>
      </c>
      <c r="H19" s="19">
        <v>11</v>
      </c>
      <c r="I19" s="112">
        <v>46750</v>
      </c>
      <c r="J19" s="113">
        <f>FORECAST(H19,$J$9:$J$18,$H$9:$H$18)</f>
        <v>10032.752666666667</v>
      </c>
      <c r="K19" s="111">
        <f t="shared" si="3"/>
        <v>0.10081157550248943</v>
      </c>
      <c r="M19" s="19">
        <v>11</v>
      </c>
      <c r="N19" s="112">
        <v>46750</v>
      </c>
      <c r="O19" s="113">
        <f>FORECAST(M19,$O$9:$O$18,$M$9:$M$18)</f>
        <v>5299.0379999999996</v>
      </c>
      <c r="P19" s="111">
        <f t="shared" si="4"/>
        <v>0.14955321987569548</v>
      </c>
    </row>
    <row r="20" spans="1:16" x14ac:dyDescent="0.3">
      <c r="B20" s="106">
        <f t="shared" si="0"/>
        <v>12</v>
      </c>
      <c r="C20" s="107">
        <f t="shared" si="1"/>
        <v>47115</v>
      </c>
      <c r="D20" s="108">
        <f>FORECAST(B20,$D$9:$D$18,$B$9:$B$18)</f>
        <v>26806.930848484852</v>
      </c>
      <c r="E20" s="109">
        <f t="shared" si="2"/>
        <v>6.2524309138817902E-2</v>
      </c>
      <c r="H20" s="19">
        <v>12</v>
      </c>
      <c r="I20" s="112">
        <v>47115</v>
      </c>
      <c r="J20" s="113">
        <f t="shared" ref="J20:J23" si="5">FORECAST(H20,$J$9:$J$18,$H$9:$H$18)</f>
        <v>10705.162969696969</v>
      </c>
      <c r="K20" s="111">
        <f t="shared" si="3"/>
        <v>6.7021516962573191E-2</v>
      </c>
      <c r="M20" s="19">
        <v>12</v>
      </c>
      <c r="N20" s="112">
        <v>47115</v>
      </c>
      <c r="O20" s="113">
        <f t="shared" ref="O20:O23" si="6">FORECAST(M20,$O$9:$O$18,$M$9:$M$18)</f>
        <v>5639.7340000000004</v>
      </c>
      <c r="P20" s="111">
        <f t="shared" si="4"/>
        <v>6.4293934106530504E-2</v>
      </c>
    </row>
    <row r="21" spans="1:16" x14ac:dyDescent="0.3">
      <c r="B21" s="106">
        <f t="shared" si="0"/>
        <v>13</v>
      </c>
      <c r="C21" s="107">
        <f t="shared" si="1"/>
        <v>47480</v>
      </c>
      <c r="D21" s="108">
        <f t="shared" ref="D21:D23" si="7">FORECAST(B21,$D$9:$D$18,$B$9:$B$18)</f>
        <v>28384.386363636368</v>
      </c>
      <c r="E21" s="109">
        <f t="shared" si="2"/>
        <v>5.8845062273910953E-2</v>
      </c>
      <c r="H21" s="19">
        <v>13</v>
      </c>
      <c r="I21" s="112">
        <v>47480</v>
      </c>
      <c r="J21" s="113">
        <f t="shared" si="5"/>
        <v>11377.573272727272</v>
      </c>
      <c r="K21" s="111">
        <f t="shared" si="3"/>
        <v>6.2811776423552956E-2</v>
      </c>
      <c r="M21" s="19">
        <v>13</v>
      </c>
      <c r="N21" s="112">
        <v>47480</v>
      </c>
      <c r="O21" s="113">
        <f t="shared" si="6"/>
        <v>5980.43</v>
      </c>
      <c r="P21" s="111">
        <f t="shared" si="4"/>
        <v>6.0409941319927496E-2</v>
      </c>
    </row>
    <row r="22" spans="1:16" x14ac:dyDescent="0.3">
      <c r="B22" s="106">
        <f t="shared" si="0"/>
        <v>14</v>
      </c>
      <c r="C22" s="107">
        <f t="shared" si="1"/>
        <v>47845</v>
      </c>
      <c r="D22" s="108">
        <f t="shared" si="7"/>
        <v>29961.841878787876</v>
      </c>
      <c r="E22" s="109">
        <f t="shared" si="2"/>
        <v>5.5574761946321605E-2</v>
      </c>
      <c r="H22" s="19">
        <v>14</v>
      </c>
      <c r="I22" s="112">
        <v>47845</v>
      </c>
      <c r="J22" s="113">
        <f t="shared" si="5"/>
        <v>12049.983575757575</v>
      </c>
      <c r="K22" s="111">
        <f t="shared" si="3"/>
        <v>5.9099624050948707E-2</v>
      </c>
      <c r="M22" s="19">
        <v>14</v>
      </c>
      <c r="N22" s="112">
        <v>47845</v>
      </c>
      <c r="O22" s="113">
        <f t="shared" si="6"/>
        <v>6321.1260000000002</v>
      </c>
      <c r="P22" s="111">
        <f t="shared" si="4"/>
        <v>5.69684788551994E-2</v>
      </c>
    </row>
    <row r="23" spans="1:16" x14ac:dyDescent="0.3">
      <c r="B23" s="106">
        <f t="shared" si="0"/>
        <v>15</v>
      </c>
      <c r="C23" s="107">
        <f t="shared" si="1"/>
        <v>48210</v>
      </c>
      <c r="D23" s="108">
        <f t="shared" si="7"/>
        <v>31539.297393939392</v>
      </c>
      <c r="E23" s="109">
        <f t="shared" si="2"/>
        <v>5.2648816502443019E-2</v>
      </c>
      <c r="H23" s="19">
        <v>15</v>
      </c>
      <c r="I23" s="112">
        <v>48210</v>
      </c>
      <c r="J23" s="113">
        <f t="shared" si="5"/>
        <v>12722.393878787878</v>
      </c>
      <c r="K23" s="111">
        <f t="shared" si="3"/>
        <v>5.5801760957008506E-2</v>
      </c>
      <c r="M23" s="19">
        <v>15</v>
      </c>
      <c r="N23" s="112">
        <v>48210</v>
      </c>
      <c r="O23" s="113">
        <f t="shared" si="6"/>
        <v>6661.8220000000001</v>
      </c>
      <c r="P23" s="111">
        <f t="shared" si="4"/>
        <v>5.3897992224803071E-2</v>
      </c>
    </row>
    <row r="24" spans="1:16" x14ac:dyDescent="0.3">
      <c r="B24" s="36"/>
      <c r="C24" s="98"/>
      <c r="D24" s="97"/>
      <c r="E24" s="86"/>
    </row>
    <row r="25" spans="1:16" x14ac:dyDescent="0.3">
      <c r="B25" s="36"/>
      <c r="C25" s="98"/>
      <c r="D25" s="97"/>
      <c r="E25" s="86"/>
    </row>
    <row r="27" spans="1:16" x14ac:dyDescent="0.3">
      <c r="A27" t="s">
        <v>55</v>
      </c>
    </row>
  </sheetData>
  <mergeCells count="3">
    <mergeCell ref="B7:E7"/>
    <mergeCell ref="H7:K7"/>
    <mergeCell ref="M7:Q7"/>
  </mergeCells>
  <pageMargins left="0.7" right="0.7" top="0.75" bottom="0.75" header="0.3" footer="0.3"/>
  <pageSetup paperSize="138" scale="9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334F2-1AFF-4161-9F32-2DBEA23C0AF6}">
  <sheetPr>
    <tabColor rgb="FF002060"/>
  </sheetPr>
  <dimension ref="B5:T112"/>
  <sheetViews>
    <sheetView showGridLines="0" workbookViewId="0">
      <selection activeCell="G5" sqref="G5:K5"/>
    </sheetView>
  </sheetViews>
  <sheetFormatPr defaultRowHeight="14.4" x14ac:dyDescent="0.3"/>
  <cols>
    <col min="1" max="1" width="1.88671875" customWidth="1"/>
    <col min="2" max="2" width="14.33203125" customWidth="1"/>
    <col min="4" max="4" width="22.77734375" customWidth="1"/>
    <col min="7" max="7" width="15.109375" customWidth="1"/>
    <col min="8" max="8" width="12.77734375" customWidth="1"/>
    <col min="9" max="9" width="13.44140625" customWidth="1"/>
    <col min="12" max="12" width="17.44140625" bestFit="1" customWidth="1"/>
    <col min="13" max="13" width="20.21875" bestFit="1" customWidth="1"/>
    <col min="14" max="14" width="13.44140625" bestFit="1" customWidth="1"/>
    <col min="15" max="15" width="12.6640625" bestFit="1" customWidth="1"/>
    <col min="16" max="16" width="12" bestFit="1" customWidth="1"/>
    <col min="17" max="17" width="12.6640625" bestFit="1" customWidth="1"/>
    <col min="18" max="18" width="12" bestFit="1" customWidth="1"/>
    <col min="19" max="19" width="12.6640625" bestFit="1" customWidth="1"/>
    <col min="20" max="20" width="12.109375" bestFit="1" customWidth="1"/>
  </cols>
  <sheetData>
    <row r="5" spans="2:14" ht="19.8" x14ac:dyDescent="0.4">
      <c r="B5" s="352" t="s">
        <v>510</v>
      </c>
      <c r="C5" s="352"/>
      <c r="D5" s="352"/>
      <c r="G5" s="352" t="s">
        <v>779</v>
      </c>
      <c r="H5" s="352"/>
      <c r="I5" s="352"/>
      <c r="J5" s="352"/>
      <c r="K5" s="352"/>
    </row>
    <row r="7" spans="2:14" ht="15" thickBot="1" x14ac:dyDescent="0.35">
      <c r="B7" s="93" t="s">
        <v>428</v>
      </c>
      <c r="C7" s="93" t="s">
        <v>508</v>
      </c>
      <c r="D7" s="93" t="s">
        <v>509</v>
      </c>
      <c r="G7" s="93" t="s">
        <v>428</v>
      </c>
      <c r="H7" s="93" t="s">
        <v>508</v>
      </c>
      <c r="I7" s="93" t="s">
        <v>509</v>
      </c>
    </row>
    <row r="8" spans="2:14" x14ac:dyDescent="0.3">
      <c r="B8" s="8">
        <v>46208</v>
      </c>
      <c r="C8" s="160">
        <v>1455.2</v>
      </c>
      <c r="D8" s="160"/>
      <c r="G8" s="8">
        <v>46208</v>
      </c>
      <c r="H8" s="160">
        <v>49350.15</v>
      </c>
      <c r="L8" s="26" t="s">
        <v>511</v>
      </c>
      <c r="M8" s="26"/>
      <c r="N8" s="26"/>
    </row>
    <row r="9" spans="2:14" x14ac:dyDescent="0.3">
      <c r="B9" s="8">
        <v>46201</v>
      </c>
      <c r="C9" s="160">
        <v>1457.8</v>
      </c>
      <c r="D9" s="59">
        <f>C9/C8-1</f>
        <v>1.7866959868058085E-3</v>
      </c>
      <c r="G9" s="8">
        <v>46201</v>
      </c>
      <c r="H9" s="160">
        <v>50096.4</v>
      </c>
      <c r="I9" s="178">
        <f t="shared" ref="I9:I40" si="0">H9/H8-1</f>
        <v>1.5121534585001317E-2</v>
      </c>
    </row>
    <row r="10" spans="2:14" ht="16.2" x14ac:dyDescent="0.3">
      <c r="B10" s="8">
        <v>46194</v>
      </c>
      <c r="C10" s="160">
        <v>1400.68</v>
      </c>
      <c r="D10" s="59">
        <f t="shared" ref="D10:D59" si="1">C10/C9-1</f>
        <v>-3.9182329537659433E-2</v>
      </c>
      <c r="G10" s="8">
        <v>46194</v>
      </c>
      <c r="H10" s="160">
        <v>49419.25</v>
      </c>
      <c r="I10" s="178">
        <f t="shared" si="0"/>
        <v>-1.3516939340950662E-2</v>
      </c>
      <c r="L10" s="161" t="s">
        <v>512</v>
      </c>
      <c r="M10" s="162">
        <f>SLOPE(D9:D59,I9:I59)</f>
        <v>1.1626310241616074</v>
      </c>
    </row>
    <row r="11" spans="2:14" ht="16.2" x14ac:dyDescent="0.3">
      <c r="B11" s="8">
        <v>46187</v>
      </c>
      <c r="C11" s="160">
        <v>1412.87</v>
      </c>
      <c r="D11" s="59">
        <f t="shared" si="1"/>
        <v>8.7029157266469426E-3</v>
      </c>
      <c r="G11" s="8">
        <v>46187</v>
      </c>
      <c r="H11" s="160">
        <v>49558.7</v>
      </c>
      <c r="I11" s="178">
        <f t="shared" si="0"/>
        <v>2.8217749156451699E-3</v>
      </c>
      <c r="L11" s="161" t="s">
        <v>226</v>
      </c>
      <c r="M11" s="162">
        <f>M32</f>
        <v>1.1626310241616076</v>
      </c>
    </row>
    <row r="12" spans="2:14" ht="16.2" x14ac:dyDescent="0.3">
      <c r="B12" s="8">
        <v>46180</v>
      </c>
      <c r="C12" s="160">
        <v>1373.82</v>
      </c>
      <c r="D12" s="59">
        <f t="shared" si="1"/>
        <v>-2.7638777806875292E-2</v>
      </c>
      <c r="G12" s="8">
        <v>46180</v>
      </c>
      <c r="H12" s="160">
        <v>48827.6</v>
      </c>
      <c r="I12" s="178">
        <f t="shared" si="0"/>
        <v>-1.4752202943176473E-2</v>
      </c>
      <c r="L12" s="161" t="s">
        <v>228</v>
      </c>
      <c r="M12" s="162">
        <f>_xlfn.COVARIANCE.S(D9:D59,I9:I59)/_xlfn.VAR.P(I9:I59)</f>
        <v>1.1858836446448395</v>
      </c>
    </row>
    <row r="13" spans="2:14" x14ac:dyDescent="0.3">
      <c r="B13" s="8">
        <v>46173</v>
      </c>
      <c r="C13" s="160">
        <v>1386.2</v>
      </c>
      <c r="D13" s="59">
        <f t="shared" si="1"/>
        <v>9.0113697573190876E-3</v>
      </c>
      <c r="G13" s="8">
        <v>46173</v>
      </c>
      <c r="H13" s="160">
        <v>48302.45</v>
      </c>
      <c r="I13" s="178">
        <f t="shared" si="0"/>
        <v>-1.0755187639777564E-2</v>
      </c>
    </row>
    <row r="14" spans="2:14" x14ac:dyDescent="0.3">
      <c r="B14" s="8">
        <v>46166</v>
      </c>
      <c r="C14" s="160">
        <v>1421.5</v>
      </c>
      <c r="D14" s="59">
        <f t="shared" si="1"/>
        <v>2.5465300822392178E-2</v>
      </c>
      <c r="G14" s="8">
        <v>46166</v>
      </c>
      <c r="H14" s="160">
        <v>49383.35</v>
      </c>
      <c r="I14" s="178">
        <f t="shared" si="0"/>
        <v>2.2377746884474803E-2</v>
      </c>
    </row>
    <row r="15" spans="2:14" x14ac:dyDescent="0.3">
      <c r="B15" s="8">
        <v>46159</v>
      </c>
      <c r="C15" s="160">
        <v>1423.1</v>
      </c>
      <c r="D15" s="59">
        <f t="shared" si="1"/>
        <v>1.1255715793174748E-3</v>
      </c>
      <c r="G15" s="8">
        <v>46159</v>
      </c>
      <c r="H15" s="160">
        <v>50249.8</v>
      </c>
      <c r="I15" s="178">
        <f t="shared" si="0"/>
        <v>1.7545387261091117E-2</v>
      </c>
      <c r="L15" t="s">
        <v>185</v>
      </c>
    </row>
    <row r="16" spans="2:14" ht="15" thickBot="1" x14ac:dyDescent="0.35">
      <c r="B16" s="8">
        <v>46152</v>
      </c>
      <c r="C16" s="160">
        <v>1430.5</v>
      </c>
      <c r="D16" s="59">
        <f t="shared" si="1"/>
        <v>5.1999156770430321E-3</v>
      </c>
      <c r="G16" s="8">
        <v>46152</v>
      </c>
      <c r="H16" s="160">
        <v>51051.35</v>
      </c>
      <c r="I16" s="178">
        <f t="shared" si="0"/>
        <v>1.5951307268884607E-2</v>
      </c>
    </row>
    <row r="17" spans="2:20" x14ac:dyDescent="0.3">
      <c r="B17" s="8">
        <v>46145</v>
      </c>
      <c r="C17" s="160">
        <v>1482.4</v>
      </c>
      <c r="D17" s="59">
        <f t="shared" si="1"/>
        <v>3.6281020622160209E-2</v>
      </c>
      <c r="G17" s="8">
        <v>46145</v>
      </c>
      <c r="H17" s="160">
        <v>51165.9</v>
      </c>
      <c r="I17" s="178">
        <f t="shared" si="0"/>
        <v>2.2438192134000001E-3</v>
      </c>
      <c r="L17" s="95" t="s">
        <v>186</v>
      </c>
      <c r="M17" s="95"/>
    </row>
    <row r="18" spans="2:20" x14ac:dyDescent="0.3">
      <c r="B18" s="8">
        <v>46138</v>
      </c>
      <c r="C18" s="160">
        <v>1458.6</v>
      </c>
      <c r="D18" s="59">
        <f t="shared" si="1"/>
        <v>-1.6055045871559703E-2</v>
      </c>
      <c r="G18" s="8">
        <v>46138</v>
      </c>
      <c r="H18" s="160">
        <v>51072.1</v>
      </c>
      <c r="I18" s="178">
        <f t="shared" si="0"/>
        <v>-1.8332522246262695E-3</v>
      </c>
      <c r="L18" t="s">
        <v>187</v>
      </c>
      <c r="M18">
        <v>0.68042858584371979</v>
      </c>
    </row>
    <row r="19" spans="2:20" x14ac:dyDescent="0.3">
      <c r="B19" s="8">
        <v>46131</v>
      </c>
      <c r="C19" s="160">
        <v>1421.3</v>
      </c>
      <c r="D19" s="59">
        <f t="shared" si="1"/>
        <v>-2.5572466748937317E-2</v>
      </c>
      <c r="G19" s="8">
        <v>46131</v>
      </c>
      <c r="H19" s="160">
        <v>50766.25</v>
      </c>
      <c r="I19" s="178">
        <f t="shared" si="0"/>
        <v>-5.988592597523823E-3</v>
      </c>
      <c r="L19" t="s">
        <v>188</v>
      </c>
      <c r="M19">
        <v>0.4629830604332843</v>
      </c>
    </row>
    <row r="20" spans="2:20" x14ac:dyDescent="0.3">
      <c r="B20" s="8">
        <v>46124</v>
      </c>
      <c r="C20" s="160">
        <v>1285.5999999999999</v>
      </c>
      <c r="D20" s="59">
        <f t="shared" si="1"/>
        <v>-9.5475972701048351E-2</v>
      </c>
      <c r="G20" s="8">
        <v>46124</v>
      </c>
      <c r="H20" s="160">
        <v>49657.75</v>
      </c>
      <c r="I20" s="178">
        <f t="shared" si="0"/>
        <v>-2.1835372910151918E-2</v>
      </c>
      <c r="L20" t="s">
        <v>189</v>
      </c>
      <c r="M20">
        <v>0.45202353105437176</v>
      </c>
    </row>
    <row r="21" spans="2:20" x14ac:dyDescent="0.3">
      <c r="B21" s="8">
        <v>46117</v>
      </c>
      <c r="C21" s="160">
        <v>1249.3</v>
      </c>
      <c r="D21" s="59">
        <f t="shared" si="1"/>
        <v>-2.8235843186060983E-2</v>
      </c>
      <c r="G21" s="8">
        <v>46117</v>
      </c>
      <c r="H21" s="160">
        <v>48194.05</v>
      </c>
      <c r="I21" s="178">
        <f t="shared" si="0"/>
        <v>-2.9475761588070304E-2</v>
      </c>
      <c r="L21" t="s">
        <v>190</v>
      </c>
      <c r="M21">
        <v>2.2218088784059384E-2</v>
      </c>
    </row>
    <row r="22" spans="2:20" ht="15" thickBot="1" x14ac:dyDescent="0.35">
      <c r="B22" s="8">
        <v>46110</v>
      </c>
      <c r="C22" s="160">
        <v>1191.3</v>
      </c>
      <c r="D22" s="59">
        <f t="shared" si="1"/>
        <v>-4.642599855919316E-2</v>
      </c>
      <c r="G22" s="8">
        <v>46110</v>
      </c>
      <c r="H22" s="160">
        <v>46232.15</v>
      </c>
      <c r="I22" s="178">
        <f t="shared" si="0"/>
        <v>-4.0708344702302446E-2</v>
      </c>
      <c r="L22" s="93" t="s">
        <v>191</v>
      </c>
      <c r="M22" s="93">
        <v>51</v>
      </c>
    </row>
    <row r="23" spans="2:20" x14ac:dyDescent="0.3">
      <c r="B23" s="8">
        <v>46103</v>
      </c>
      <c r="C23" s="160">
        <v>1193.2</v>
      </c>
      <c r="D23" s="59">
        <f t="shared" si="1"/>
        <v>1.5948963317384823E-3</v>
      </c>
      <c r="G23" s="8">
        <v>46103</v>
      </c>
      <c r="H23" s="160">
        <v>46427.199999999997</v>
      </c>
      <c r="I23" s="178">
        <f t="shared" si="0"/>
        <v>4.2189255745188614E-3</v>
      </c>
    </row>
    <row r="24" spans="2:20" ht="15" thickBot="1" x14ac:dyDescent="0.35">
      <c r="B24" s="8">
        <v>46096</v>
      </c>
      <c r="C24" s="160">
        <v>1193.5999999999999</v>
      </c>
      <c r="D24" s="59">
        <f t="shared" si="1"/>
        <v>3.3523298692572645E-4</v>
      </c>
      <c r="G24" s="8">
        <v>46096</v>
      </c>
      <c r="H24" s="160">
        <v>47007.55</v>
      </c>
      <c r="I24" s="178">
        <f t="shared" si="0"/>
        <v>1.2500215390977898E-2</v>
      </c>
      <c r="L24" t="s">
        <v>192</v>
      </c>
    </row>
    <row r="25" spans="2:20" x14ac:dyDescent="0.3">
      <c r="B25" s="8">
        <v>46089</v>
      </c>
      <c r="C25" s="160">
        <v>1202.2</v>
      </c>
      <c r="D25" s="59">
        <f t="shared" si="1"/>
        <v>7.2050938337802073E-3</v>
      </c>
      <c r="G25" s="8">
        <v>46089</v>
      </c>
      <c r="H25" s="160">
        <v>47924.15</v>
      </c>
      <c r="I25" s="178">
        <f t="shared" si="0"/>
        <v>1.9498995374147343E-2</v>
      </c>
      <c r="L25" s="94"/>
      <c r="M25" s="94" t="s">
        <v>196</v>
      </c>
      <c r="N25" s="94" t="s">
        <v>197</v>
      </c>
      <c r="O25" s="94" t="s">
        <v>198</v>
      </c>
      <c r="P25" s="94" t="s">
        <v>199</v>
      </c>
      <c r="Q25" s="94" t="s">
        <v>200</v>
      </c>
    </row>
    <row r="26" spans="2:20" x14ac:dyDescent="0.3">
      <c r="B26" s="8">
        <v>46082</v>
      </c>
      <c r="C26" s="160">
        <v>1252.4000000000001</v>
      </c>
      <c r="D26" s="59">
        <f t="shared" si="1"/>
        <v>4.1756779238063535E-2</v>
      </c>
      <c r="G26" s="8">
        <v>46082</v>
      </c>
      <c r="H26" s="160">
        <v>49970.6</v>
      </c>
      <c r="I26" s="178">
        <f t="shared" si="0"/>
        <v>4.2701852823680664E-2</v>
      </c>
      <c r="L26" t="s">
        <v>193</v>
      </c>
      <c r="M26">
        <v>1</v>
      </c>
      <c r="N26">
        <v>2.0853866643255864E-2</v>
      </c>
      <c r="O26">
        <v>2.0853866643255864E-2</v>
      </c>
      <c r="P26">
        <v>42.244793952933662</v>
      </c>
      <c r="Q26">
        <v>3.9551216612222865E-8</v>
      </c>
    </row>
    <row r="27" spans="2:20" x14ac:dyDescent="0.3">
      <c r="B27" s="8">
        <v>46075</v>
      </c>
      <c r="C27" s="160">
        <v>1291.7</v>
      </c>
      <c r="D27" s="59">
        <f t="shared" si="1"/>
        <v>3.1379750878313573E-2</v>
      </c>
      <c r="G27" s="8">
        <v>46075</v>
      </c>
      <c r="H27" s="160">
        <v>51142.2</v>
      </c>
      <c r="I27" s="178">
        <f t="shared" si="0"/>
        <v>2.3445786122239909E-2</v>
      </c>
      <c r="L27" t="s">
        <v>194</v>
      </c>
      <c r="M27">
        <v>49</v>
      </c>
      <c r="N27">
        <v>2.4188529991600927E-2</v>
      </c>
      <c r="O27">
        <v>4.9364346921634546E-4</v>
      </c>
    </row>
    <row r="28" spans="2:20" ht="15" thickBot="1" x14ac:dyDescent="0.35">
      <c r="B28" s="8">
        <v>46068</v>
      </c>
      <c r="C28" s="160">
        <v>1293.8</v>
      </c>
      <c r="D28" s="59">
        <f t="shared" si="1"/>
        <v>1.6257644963999507E-3</v>
      </c>
      <c r="G28" s="8">
        <v>46068</v>
      </c>
      <c r="H28" s="160">
        <v>51772.7</v>
      </c>
      <c r="I28" s="178">
        <f t="shared" si="0"/>
        <v>1.2328370699735247E-2</v>
      </c>
      <c r="L28" s="93" t="s">
        <v>35</v>
      </c>
      <c r="M28" s="93">
        <v>50</v>
      </c>
      <c r="N28" s="93">
        <v>4.5042396634856791E-2</v>
      </c>
      <c r="O28" s="93"/>
      <c r="P28" s="93"/>
      <c r="Q28" s="93"/>
    </row>
    <row r="29" spans="2:20" ht="15" thickBot="1" x14ac:dyDescent="0.35">
      <c r="B29" s="8">
        <v>46061</v>
      </c>
      <c r="C29" s="160">
        <v>1282.5999999999999</v>
      </c>
      <c r="D29" s="59">
        <f t="shared" si="1"/>
        <v>-8.65667027361261E-3</v>
      </c>
      <c r="G29" s="8">
        <v>46061</v>
      </c>
      <c r="H29" s="160">
        <v>50902.15</v>
      </c>
      <c r="I29" s="178">
        <f t="shared" si="0"/>
        <v>-1.6814846434510811E-2</v>
      </c>
    </row>
    <row r="30" spans="2:20" x14ac:dyDescent="0.3">
      <c r="B30" s="8">
        <v>46054</v>
      </c>
      <c r="C30" s="160">
        <v>1303.3</v>
      </c>
      <c r="D30" s="59">
        <f t="shared" si="1"/>
        <v>1.6139092468423488E-2</v>
      </c>
      <c r="G30" s="8">
        <v>46054</v>
      </c>
      <c r="H30" s="160">
        <v>51882.75</v>
      </c>
      <c r="I30" s="178">
        <f t="shared" si="0"/>
        <v>1.9264412210486137E-2</v>
      </c>
      <c r="L30" s="94"/>
      <c r="M30" s="94" t="s">
        <v>201</v>
      </c>
      <c r="N30" s="94" t="s">
        <v>190</v>
      </c>
      <c r="O30" s="94" t="s">
        <v>202</v>
      </c>
      <c r="P30" s="94" t="s">
        <v>203</v>
      </c>
      <c r="Q30" s="94" t="s">
        <v>204</v>
      </c>
      <c r="R30" s="94" t="s">
        <v>205</v>
      </c>
      <c r="S30" s="94" t="s">
        <v>206</v>
      </c>
      <c r="T30" s="94" t="s">
        <v>207</v>
      </c>
    </row>
    <row r="31" spans="2:20" x14ac:dyDescent="0.3">
      <c r="B31" s="8">
        <v>46047</v>
      </c>
      <c r="C31" s="160">
        <v>1332.4</v>
      </c>
      <c r="D31" s="59">
        <f t="shared" si="1"/>
        <v>2.2327936775876633E-2</v>
      </c>
      <c r="G31" s="8">
        <v>46047</v>
      </c>
      <c r="H31" s="160">
        <v>51215.199999999997</v>
      </c>
      <c r="I31" s="178">
        <f t="shared" si="0"/>
        <v>-1.286651150912399E-2</v>
      </c>
      <c r="L31" t="s">
        <v>195</v>
      </c>
      <c r="M31">
        <v>-6.0143709057515621E-3</v>
      </c>
      <c r="N31">
        <v>3.1514958829730929E-3</v>
      </c>
      <c r="O31">
        <v>-1.9084178209611553</v>
      </c>
      <c r="P31">
        <v>6.2204484241509907E-2</v>
      </c>
      <c r="Q31">
        <v>-1.2347538992089034E-2</v>
      </c>
      <c r="R31">
        <v>3.1879718058591081E-4</v>
      </c>
      <c r="S31">
        <v>-1.2347538992089034E-2</v>
      </c>
      <c r="T31">
        <v>3.1879718058591081E-4</v>
      </c>
    </row>
    <row r="32" spans="2:20" ht="15" thickBot="1" x14ac:dyDescent="0.35">
      <c r="B32" s="8">
        <v>46040</v>
      </c>
      <c r="C32" s="160">
        <v>1293.8</v>
      </c>
      <c r="D32" s="59">
        <f t="shared" si="1"/>
        <v>-2.8970279195436932E-2</v>
      </c>
      <c r="G32" s="8">
        <v>46040</v>
      </c>
      <c r="H32" s="160">
        <v>51662.05</v>
      </c>
      <c r="I32" s="178">
        <f t="shared" si="0"/>
        <v>8.724948843312319E-3</v>
      </c>
      <c r="L32" s="93" t="s">
        <v>436</v>
      </c>
      <c r="M32" s="93">
        <v>1.1626310241616076</v>
      </c>
      <c r="N32" s="93">
        <v>0.1788773323858123</v>
      </c>
      <c r="O32" s="93">
        <v>6.4995995225039591</v>
      </c>
      <c r="P32" s="93">
        <v>3.9551216612222633E-8</v>
      </c>
      <c r="Q32" s="93">
        <v>0.80316356651534315</v>
      </c>
      <c r="R32" s="93">
        <v>1.522098481807872</v>
      </c>
      <c r="S32" s="93">
        <v>0.80316356651534315</v>
      </c>
      <c r="T32" s="93">
        <v>1.522098481807872</v>
      </c>
    </row>
    <row r="33" spans="2:16" x14ac:dyDescent="0.3">
      <c r="B33" s="8">
        <v>46033</v>
      </c>
      <c r="C33" s="160">
        <v>1315.9</v>
      </c>
      <c r="D33" s="59">
        <f t="shared" si="1"/>
        <v>1.7081465450610622E-2</v>
      </c>
      <c r="G33" s="8">
        <v>46033</v>
      </c>
      <c r="H33" s="160">
        <v>52142.5</v>
      </c>
      <c r="I33" s="178">
        <f t="shared" si="0"/>
        <v>9.2998632458447528E-3</v>
      </c>
    </row>
    <row r="34" spans="2:16" x14ac:dyDescent="0.3">
      <c r="B34" s="8">
        <v>46026</v>
      </c>
      <c r="C34" s="160">
        <v>1299.0999999999999</v>
      </c>
      <c r="D34" s="59">
        <f t="shared" si="1"/>
        <v>-1.276692757808362E-2</v>
      </c>
      <c r="G34" s="8">
        <v>46026</v>
      </c>
      <c r="H34" s="160">
        <v>52438.15</v>
      </c>
      <c r="I34" s="178">
        <f t="shared" si="0"/>
        <v>5.6700388358825737E-3</v>
      </c>
    </row>
    <row r="35" spans="2:16" ht="19.8" x14ac:dyDescent="0.4">
      <c r="B35" s="8">
        <v>46019</v>
      </c>
      <c r="C35" s="160">
        <v>1279.7</v>
      </c>
      <c r="D35" s="59">
        <f t="shared" si="1"/>
        <v>-1.4933415441459319E-2</v>
      </c>
      <c r="G35" s="8">
        <v>46019</v>
      </c>
      <c r="H35" s="160">
        <v>53078.8</v>
      </c>
      <c r="I35" s="178">
        <f t="shared" si="0"/>
        <v>1.221725022717246E-2</v>
      </c>
      <c r="L35" s="353" t="s">
        <v>437</v>
      </c>
      <c r="M35" s="353"/>
      <c r="N35" s="353"/>
      <c r="O35" s="163"/>
      <c r="P35" s="163"/>
    </row>
    <row r="36" spans="2:16" x14ac:dyDescent="0.3">
      <c r="B36" s="8">
        <v>46012</v>
      </c>
      <c r="C36" s="160">
        <v>1272.5999999999999</v>
      </c>
      <c r="D36" s="59">
        <f t="shared" si="1"/>
        <v>-5.5481753535986389E-3</v>
      </c>
      <c r="G36" s="8">
        <v>46012</v>
      </c>
      <c r="H36" s="160">
        <v>55132.05</v>
      </c>
      <c r="I36" s="178">
        <f t="shared" si="0"/>
        <v>3.8683052367423532E-2</v>
      </c>
    </row>
    <row r="37" spans="2:16" x14ac:dyDescent="0.3">
      <c r="B37" s="8">
        <v>46005</v>
      </c>
      <c r="C37" s="160">
        <v>1244.4000000000001</v>
      </c>
      <c r="D37" s="59">
        <f t="shared" si="1"/>
        <v>-2.2159358793021999E-2</v>
      </c>
      <c r="G37" s="8">
        <v>46005</v>
      </c>
      <c r="H37" s="160">
        <v>54781.35</v>
      </c>
      <c r="I37" s="178">
        <f t="shared" si="0"/>
        <v>-6.3610912345904991E-3</v>
      </c>
      <c r="L37" t="s">
        <v>243</v>
      </c>
      <c r="M37" s="134">
        <f>M10</f>
        <v>1.1626310241616074</v>
      </c>
    </row>
    <row r="38" spans="2:16" x14ac:dyDescent="0.3">
      <c r="B38" s="8">
        <v>45998</v>
      </c>
      <c r="C38" s="160">
        <v>1238.3</v>
      </c>
      <c r="D38" s="59">
        <f t="shared" si="1"/>
        <v>-4.9019607843138191E-3</v>
      </c>
      <c r="G38" s="8">
        <v>45998</v>
      </c>
      <c r="H38" s="160">
        <v>54490.8</v>
      </c>
      <c r="I38" s="178">
        <f t="shared" si="0"/>
        <v>-5.3038123375929169E-3</v>
      </c>
      <c r="L38" t="s">
        <v>438</v>
      </c>
      <c r="M38" s="59">
        <v>0.75</v>
      </c>
    </row>
    <row r="39" spans="2:16" x14ac:dyDescent="0.3">
      <c r="B39" s="8">
        <v>45991</v>
      </c>
      <c r="C39" s="160">
        <v>1246.9000000000001</v>
      </c>
      <c r="D39" s="59">
        <f t="shared" si="1"/>
        <v>6.9450052491319969E-3</v>
      </c>
      <c r="G39" s="8">
        <v>45991</v>
      </c>
      <c r="H39" s="160">
        <v>55202.85</v>
      </c>
      <c r="I39" s="178">
        <f t="shared" si="0"/>
        <v>1.3067343478164961E-2</v>
      </c>
      <c r="L39" t="s">
        <v>439</v>
      </c>
      <c r="M39">
        <v>1</v>
      </c>
    </row>
    <row r="40" spans="2:16" x14ac:dyDescent="0.3">
      <c r="B40" s="8">
        <v>45984</v>
      </c>
      <c r="C40" s="160">
        <v>1261.0999999999999</v>
      </c>
      <c r="D40" s="59">
        <f t="shared" si="1"/>
        <v>1.1388242842248708E-2</v>
      </c>
      <c r="G40" s="8">
        <v>45984</v>
      </c>
      <c r="H40" s="160">
        <v>55595.8</v>
      </c>
      <c r="I40" s="178">
        <f t="shared" si="0"/>
        <v>7.1182918997843014E-3</v>
      </c>
      <c r="L40" t="s">
        <v>441</v>
      </c>
      <c r="M40" s="59">
        <v>0.25</v>
      </c>
    </row>
    <row r="41" spans="2:16" x14ac:dyDescent="0.3">
      <c r="B41" s="8">
        <v>45977</v>
      </c>
      <c r="C41" s="160">
        <v>1280.7</v>
      </c>
      <c r="D41" s="59">
        <f t="shared" si="1"/>
        <v>1.5541987154071846E-2</v>
      </c>
      <c r="G41" s="8">
        <v>45977</v>
      </c>
      <c r="H41" s="160">
        <v>55504.7</v>
      </c>
      <c r="I41" s="178">
        <f t="shared" ref="I41:I59" si="2">H41/H40-1</f>
        <v>-1.6386129887510092E-3</v>
      </c>
    </row>
    <row r="42" spans="2:16" x14ac:dyDescent="0.3">
      <c r="B42" s="8">
        <v>45970</v>
      </c>
      <c r="C42" s="160">
        <v>1271.5999999999999</v>
      </c>
      <c r="D42" s="59">
        <f t="shared" si="1"/>
        <v>-7.105489185601721E-3</v>
      </c>
      <c r="G42" s="8">
        <v>45970</v>
      </c>
      <c r="H42" s="160">
        <v>55560.800000000003</v>
      </c>
      <c r="I42" s="178">
        <f t="shared" si="2"/>
        <v>1.0107252178646053E-3</v>
      </c>
      <c r="L42" s="145" t="s">
        <v>440</v>
      </c>
      <c r="M42" s="164">
        <f>(M37*M38)+(M39*M40)</f>
        <v>1.1219732681212056</v>
      </c>
    </row>
    <row r="43" spans="2:16" x14ac:dyDescent="0.3">
      <c r="B43" s="8">
        <v>45963</v>
      </c>
      <c r="C43" s="160">
        <v>1262.7</v>
      </c>
      <c r="D43" s="59">
        <f t="shared" si="1"/>
        <v>-6.9990563070146949E-3</v>
      </c>
      <c r="G43" s="8">
        <v>45963</v>
      </c>
      <c r="H43" s="160">
        <v>55437.2</v>
      </c>
      <c r="I43" s="178">
        <f t="shared" si="2"/>
        <v>-2.2245899987042295E-3</v>
      </c>
    </row>
    <row r="44" spans="2:16" x14ac:dyDescent="0.3">
      <c r="B44" s="8">
        <v>45956</v>
      </c>
      <c r="C44" s="160">
        <v>1271.5999999999999</v>
      </c>
      <c r="D44" s="59">
        <f t="shared" si="1"/>
        <v>7.048388374118808E-3</v>
      </c>
      <c r="G44" s="8">
        <v>45956</v>
      </c>
      <c r="H44" s="160">
        <v>56208.5</v>
      </c>
      <c r="I44" s="178">
        <f t="shared" si="2"/>
        <v>1.3913040341142935E-2</v>
      </c>
    </row>
    <row r="45" spans="2:16" x14ac:dyDescent="0.3">
      <c r="B45" s="8">
        <v>45949</v>
      </c>
      <c r="C45" s="160">
        <v>1282</v>
      </c>
      <c r="D45" s="59">
        <f t="shared" si="1"/>
        <v>8.1786725385342152E-3</v>
      </c>
      <c r="G45" s="8">
        <v>45949</v>
      </c>
      <c r="H45" s="160">
        <v>56348.1</v>
      </c>
      <c r="I45" s="178">
        <f t="shared" si="2"/>
        <v>2.4836101301404234E-3</v>
      </c>
    </row>
    <row r="46" spans="2:16" x14ac:dyDescent="0.3">
      <c r="B46" s="8">
        <v>45942</v>
      </c>
      <c r="C46" s="160">
        <v>1289.5</v>
      </c>
      <c r="D46" s="59">
        <f t="shared" si="1"/>
        <v>5.8502340093604666E-3</v>
      </c>
      <c r="G46" s="8">
        <v>45942</v>
      </c>
      <c r="H46" s="160">
        <v>56616.4</v>
      </c>
      <c r="I46" s="178">
        <f t="shared" si="2"/>
        <v>4.7614737675272245E-3</v>
      </c>
    </row>
    <row r="47" spans="2:16" x14ac:dyDescent="0.3">
      <c r="B47" s="8">
        <v>45935</v>
      </c>
      <c r="C47" s="160">
        <v>1199.5</v>
      </c>
      <c r="D47" s="59">
        <f t="shared" si="1"/>
        <v>-6.9794493989918549E-2</v>
      </c>
      <c r="G47" s="8">
        <v>45935</v>
      </c>
      <c r="H47" s="160">
        <v>54966.45</v>
      </c>
      <c r="I47" s="178">
        <f t="shared" si="2"/>
        <v>-2.9142615920475401E-2</v>
      </c>
    </row>
    <row r="48" spans="2:16" x14ac:dyDescent="0.3">
      <c r="B48" s="8">
        <v>45928</v>
      </c>
      <c r="C48" s="160">
        <v>1169.9000000000001</v>
      </c>
      <c r="D48" s="59">
        <f t="shared" si="1"/>
        <v>-2.4676948728636905E-2</v>
      </c>
      <c r="G48" s="8">
        <v>45928</v>
      </c>
      <c r="H48" s="160">
        <v>55170.6</v>
      </c>
      <c r="I48" s="178">
        <f t="shared" si="2"/>
        <v>3.7140837729197074E-3</v>
      </c>
    </row>
    <row r="49" spans="2:9" x14ac:dyDescent="0.3">
      <c r="B49" s="8">
        <v>45921</v>
      </c>
      <c r="C49" s="160">
        <v>1162.5999999999999</v>
      </c>
      <c r="D49" s="59">
        <f t="shared" si="1"/>
        <v>-6.2398495597916215E-3</v>
      </c>
      <c r="G49" s="8">
        <v>45921</v>
      </c>
      <c r="H49" s="160">
        <v>54847.55</v>
      </c>
      <c r="I49" s="178">
        <f t="shared" si="2"/>
        <v>-5.8554737486994357E-3</v>
      </c>
    </row>
    <row r="50" spans="2:9" x14ac:dyDescent="0.3">
      <c r="B50" s="8">
        <v>45914</v>
      </c>
      <c r="C50" s="160">
        <v>1194.5</v>
      </c>
      <c r="D50" s="59">
        <f t="shared" si="1"/>
        <v>2.7438499913986059E-2</v>
      </c>
      <c r="G50" s="8">
        <v>45914</v>
      </c>
      <c r="H50" s="160">
        <v>56273.05</v>
      </c>
      <c r="I50" s="178">
        <f t="shared" si="2"/>
        <v>2.5990221988037687E-2</v>
      </c>
    </row>
    <row r="51" spans="2:9" x14ac:dyDescent="0.3">
      <c r="B51" s="8">
        <v>45907</v>
      </c>
      <c r="C51" s="160">
        <v>1217.5999999999999</v>
      </c>
      <c r="D51" s="59">
        <f t="shared" si="1"/>
        <v>1.9338635412306404E-2</v>
      </c>
      <c r="G51" s="8">
        <v>45907</v>
      </c>
      <c r="H51" s="160">
        <v>56557.15</v>
      </c>
      <c r="I51" s="178">
        <f t="shared" si="2"/>
        <v>5.0485978634533524E-3</v>
      </c>
    </row>
    <row r="52" spans="2:9" x14ac:dyDescent="0.3">
      <c r="B52" s="8">
        <v>45900</v>
      </c>
      <c r="C52" s="160">
        <v>1208.5</v>
      </c>
      <c r="D52" s="59">
        <f t="shared" si="1"/>
        <v>-7.4737187910642877E-3</v>
      </c>
      <c r="G52" s="8">
        <v>45900</v>
      </c>
      <c r="H52" s="160">
        <v>56292.1</v>
      </c>
      <c r="I52" s="178">
        <f t="shared" si="2"/>
        <v>-4.6864101179073803E-3</v>
      </c>
    </row>
    <row r="53" spans="2:9" x14ac:dyDescent="0.3">
      <c r="B53" s="8">
        <v>45893</v>
      </c>
      <c r="C53" s="160">
        <v>1156.2</v>
      </c>
      <c r="D53" s="59">
        <f t="shared" si="1"/>
        <v>-4.3276789408357441E-2</v>
      </c>
      <c r="G53" s="8">
        <v>45893</v>
      </c>
      <c r="H53" s="160">
        <v>56141.85</v>
      </c>
      <c r="I53" s="178">
        <f t="shared" si="2"/>
        <v>-2.6691134279943629E-3</v>
      </c>
    </row>
    <row r="54" spans="2:9" x14ac:dyDescent="0.3">
      <c r="B54" s="8">
        <v>45886</v>
      </c>
      <c r="C54" s="160">
        <v>1162.9000000000001</v>
      </c>
      <c r="D54" s="59">
        <f t="shared" si="1"/>
        <v>5.7948451824945124E-3</v>
      </c>
      <c r="G54" s="8">
        <v>45886</v>
      </c>
      <c r="H54" s="160">
        <v>55737.45</v>
      </c>
      <c r="I54" s="178">
        <f t="shared" si="2"/>
        <v>-7.2031826525132958E-3</v>
      </c>
    </row>
    <row r="55" spans="2:9" x14ac:dyDescent="0.3">
      <c r="B55" s="8">
        <v>45879</v>
      </c>
      <c r="C55" s="160">
        <v>1089.4000000000001</v>
      </c>
      <c r="D55" s="59">
        <f t="shared" si="1"/>
        <v>-6.3204058818471021E-2</v>
      </c>
      <c r="G55" s="8">
        <v>45879</v>
      </c>
      <c r="H55" s="160">
        <v>54656.3</v>
      </c>
      <c r="I55" s="178">
        <f t="shared" si="2"/>
        <v>-1.9397191654802914E-2</v>
      </c>
    </row>
    <row r="56" spans="2:9" x14ac:dyDescent="0.3">
      <c r="B56" s="8">
        <v>45872</v>
      </c>
      <c r="C56" s="160">
        <v>1096.5</v>
      </c>
      <c r="D56" s="59">
        <f t="shared" si="1"/>
        <v>6.517348999449224E-3</v>
      </c>
      <c r="G56" s="8">
        <v>45872</v>
      </c>
      <c r="H56" s="160">
        <v>54900.95</v>
      </c>
      <c r="I56" s="178">
        <f t="shared" si="2"/>
        <v>4.4761537096362769E-3</v>
      </c>
    </row>
    <row r="57" spans="2:9" x14ac:dyDescent="0.3">
      <c r="B57" s="8">
        <v>45865</v>
      </c>
      <c r="C57" s="160">
        <v>1138.25</v>
      </c>
      <c r="D57" s="59">
        <f t="shared" si="1"/>
        <v>3.8075695394436782E-2</v>
      </c>
      <c r="G57" s="8">
        <v>45865</v>
      </c>
      <c r="H57" s="160">
        <v>56197.05</v>
      </c>
      <c r="I57" s="178">
        <f t="shared" si="2"/>
        <v>2.3607970353882957E-2</v>
      </c>
    </row>
    <row r="58" spans="2:9" x14ac:dyDescent="0.3">
      <c r="B58" s="8">
        <v>45858</v>
      </c>
      <c r="C58" s="160">
        <v>1137.3</v>
      </c>
      <c r="D58" s="59">
        <f t="shared" si="1"/>
        <v>-8.3461453986388712E-4</v>
      </c>
      <c r="G58" s="8">
        <v>45858</v>
      </c>
      <c r="H58" s="160">
        <v>54579.95</v>
      </c>
      <c r="I58" s="178">
        <f t="shared" si="2"/>
        <v>-2.8775531811723321E-2</v>
      </c>
    </row>
    <row r="59" spans="2:9" x14ac:dyDescent="0.3">
      <c r="B59" s="8">
        <v>45851</v>
      </c>
      <c r="C59" s="160">
        <v>1236.0999999999999</v>
      </c>
      <c r="D59" s="59">
        <f t="shared" si="1"/>
        <v>8.6872417128286195E-2</v>
      </c>
      <c r="G59" s="8">
        <v>45851</v>
      </c>
      <c r="H59" s="160">
        <v>56506.9</v>
      </c>
      <c r="I59" s="178">
        <f t="shared" si="2"/>
        <v>3.5305089139876511E-2</v>
      </c>
    </row>
    <row r="61" spans="2:9" x14ac:dyDescent="0.3">
      <c r="G61" s="8"/>
      <c r="H61" s="160"/>
    </row>
    <row r="62" spans="2:9" x14ac:dyDescent="0.3">
      <c r="G62" s="8"/>
      <c r="H62" s="160"/>
    </row>
    <row r="63" spans="2:9" x14ac:dyDescent="0.3">
      <c r="G63" s="8"/>
      <c r="H63" s="160"/>
    </row>
    <row r="64" spans="2:9" x14ac:dyDescent="0.3">
      <c r="G64" s="8"/>
      <c r="H64" s="160"/>
    </row>
    <row r="65" spans="2:8" x14ac:dyDescent="0.3">
      <c r="G65" s="8"/>
      <c r="H65" s="160"/>
    </row>
    <row r="66" spans="2:8" x14ac:dyDescent="0.3">
      <c r="B66" s="249" t="s">
        <v>752</v>
      </c>
    </row>
    <row r="67" spans="2:8" x14ac:dyDescent="0.3">
      <c r="G67" s="8"/>
      <c r="H67" s="160"/>
    </row>
    <row r="68" spans="2:8" x14ac:dyDescent="0.3">
      <c r="G68" s="8"/>
      <c r="H68" s="160"/>
    </row>
    <row r="69" spans="2:8" x14ac:dyDescent="0.3">
      <c r="G69" s="8"/>
      <c r="H69" s="160"/>
    </row>
    <row r="70" spans="2:8" x14ac:dyDescent="0.3">
      <c r="G70" s="8"/>
      <c r="H70" s="160"/>
    </row>
    <row r="71" spans="2:8" x14ac:dyDescent="0.3">
      <c r="G71" s="8"/>
      <c r="H71" s="160"/>
    </row>
    <row r="72" spans="2:8" x14ac:dyDescent="0.3">
      <c r="G72" s="8"/>
      <c r="H72" s="160"/>
    </row>
    <row r="73" spans="2:8" x14ac:dyDescent="0.3">
      <c r="G73" s="8"/>
      <c r="H73" s="160"/>
    </row>
    <row r="74" spans="2:8" x14ac:dyDescent="0.3">
      <c r="G74" s="8"/>
      <c r="H74" s="160"/>
    </row>
    <row r="75" spans="2:8" x14ac:dyDescent="0.3">
      <c r="G75" s="8"/>
      <c r="H75" s="160"/>
    </row>
    <row r="76" spans="2:8" x14ac:dyDescent="0.3">
      <c r="G76" s="8"/>
      <c r="H76" s="160"/>
    </row>
    <row r="77" spans="2:8" x14ac:dyDescent="0.3">
      <c r="G77" s="8"/>
      <c r="H77" s="160"/>
    </row>
    <row r="78" spans="2:8" x14ac:dyDescent="0.3">
      <c r="G78" s="8"/>
      <c r="H78" s="160"/>
    </row>
    <row r="79" spans="2:8" x14ac:dyDescent="0.3">
      <c r="G79" s="8"/>
      <c r="H79" s="160"/>
    </row>
    <row r="80" spans="2:8" x14ac:dyDescent="0.3">
      <c r="G80" s="8"/>
      <c r="H80" s="160"/>
    </row>
    <row r="81" spans="7:8" x14ac:dyDescent="0.3">
      <c r="G81" s="8"/>
      <c r="H81" s="160"/>
    </row>
    <row r="82" spans="7:8" x14ac:dyDescent="0.3">
      <c r="G82" s="8"/>
      <c r="H82" s="160"/>
    </row>
    <row r="83" spans="7:8" x14ac:dyDescent="0.3">
      <c r="G83" s="8"/>
      <c r="H83" s="160"/>
    </row>
    <row r="84" spans="7:8" x14ac:dyDescent="0.3">
      <c r="G84" s="8"/>
      <c r="H84" s="160"/>
    </row>
    <row r="85" spans="7:8" x14ac:dyDescent="0.3">
      <c r="G85" s="8"/>
      <c r="H85" s="160"/>
    </row>
    <row r="86" spans="7:8" x14ac:dyDescent="0.3">
      <c r="G86" s="8"/>
      <c r="H86" s="160"/>
    </row>
    <row r="87" spans="7:8" x14ac:dyDescent="0.3">
      <c r="G87" s="8"/>
      <c r="H87" s="160"/>
    </row>
    <row r="88" spans="7:8" x14ac:dyDescent="0.3">
      <c r="G88" s="8"/>
      <c r="H88" s="160"/>
    </row>
    <row r="89" spans="7:8" x14ac:dyDescent="0.3">
      <c r="G89" s="8"/>
      <c r="H89" s="160"/>
    </row>
    <row r="90" spans="7:8" x14ac:dyDescent="0.3">
      <c r="G90" s="8"/>
      <c r="H90" s="160"/>
    </row>
    <row r="91" spans="7:8" x14ac:dyDescent="0.3">
      <c r="G91" s="8"/>
      <c r="H91" s="160"/>
    </row>
    <row r="92" spans="7:8" x14ac:dyDescent="0.3">
      <c r="G92" s="8"/>
      <c r="H92" s="160"/>
    </row>
    <row r="93" spans="7:8" x14ac:dyDescent="0.3">
      <c r="G93" s="8"/>
      <c r="H93" s="160"/>
    </row>
    <row r="94" spans="7:8" x14ac:dyDescent="0.3">
      <c r="G94" s="8"/>
      <c r="H94" s="160"/>
    </row>
    <row r="95" spans="7:8" x14ac:dyDescent="0.3">
      <c r="G95" s="8"/>
      <c r="H95" s="160"/>
    </row>
    <row r="96" spans="7:8" x14ac:dyDescent="0.3">
      <c r="G96" s="8"/>
      <c r="H96" s="160"/>
    </row>
    <row r="97" spans="7:8" x14ac:dyDescent="0.3">
      <c r="G97" s="8"/>
      <c r="H97" s="160"/>
    </row>
    <row r="98" spans="7:8" x14ac:dyDescent="0.3">
      <c r="G98" s="8"/>
      <c r="H98" s="160"/>
    </row>
    <row r="99" spans="7:8" x14ac:dyDescent="0.3">
      <c r="G99" s="8"/>
      <c r="H99" s="160"/>
    </row>
    <row r="100" spans="7:8" x14ac:dyDescent="0.3">
      <c r="G100" s="8"/>
      <c r="H100" s="160"/>
    </row>
    <row r="101" spans="7:8" x14ac:dyDescent="0.3">
      <c r="G101" s="8"/>
      <c r="H101" s="160"/>
    </row>
    <row r="102" spans="7:8" x14ac:dyDescent="0.3">
      <c r="G102" s="8"/>
      <c r="H102" s="160"/>
    </row>
    <row r="103" spans="7:8" x14ac:dyDescent="0.3">
      <c r="G103" s="8"/>
      <c r="H103" s="160"/>
    </row>
    <row r="104" spans="7:8" x14ac:dyDescent="0.3">
      <c r="G104" s="8"/>
      <c r="H104" s="160"/>
    </row>
    <row r="105" spans="7:8" x14ac:dyDescent="0.3">
      <c r="G105" s="8"/>
      <c r="H105" s="160"/>
    </row>
    <row r="106" spans="7:8" x14ac:dyDescent="0.3">
      <c r="G106" s="8"/>
      <c r="H106" s="160"/>
    </row>
    <row r="107" spans="7:8" x14ac:dyDescent="0.3">
      <c r="G107" s="8"/>
      <c r="H107" s="160"/>
    </row>
    <row r="108" spans="7:8" x14ac:dyDescent="0.3">
      <c r="G108" s="8"/>
      <c r="H108" s="160"/>
    </row>
    <row r="109" spans="7:8" x14ac:dyDescent="0.3">
      <c r="G109" s="8"/>
      <c r="H109" s="160"/>
    </row>
    <row r="110" spans="7:8" x14ac:dyDescent="0.3">
      <c r="G110" s="8"/>
      <c r="H110" s="160"/>
    </row>
    <row r="111" spans="7:8" x14ac:dyDescent="0.3">
      <c r="G111" s="8"/>
      <c r="H111" s="160"/>
    </row>
    <row r="112" spans="7:8" x14ac:dyDescent="0.3">
      <c r="G112" s="8"/>
      <c r="H112" s="160"/>
    </row>
  </sheetData>
  <autoFilter ref="B7:D7" xr:uid="{FA3334F2-1AFF-4161-9F32-2DBEA23C0AF6}"/>
  <mergeCells count="3">
    <mergeCell ref="B5:D5"/>
    <mergeCell ref="G5:K5"/>
    <mergeCell ref="L35:N35"/>
  </mergeCells>
  <pageMargins left="0.7" right="0.7" top="0.75" bottom="0.75" header="0.3" footer="0.3"/>
  <pageSetup paperSize="24"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BE41-373B-47A2-A2F8-14779CC046F7}">
  <dimension ref="B2:V31"/>
  <sheetViews>
    <sheetView showGridLines="0" workbookViewId="0">
      <selection activeCell="N6" sqref="N6"/>
    </sheetView>
  </sheetViews>
  <sheetFormatPr defaultRowHeight="14.4" x14ac:dyDescent="0.3"/>
  <cols>
    <col min="1" max="1" width="1.88671875" customWidth="1"/>
    <col min="4" max="4" width="10" bestFit="1" customWidth="1"/>
    <col min="5" max="5" width="13.44140625" customWidth="1"/>
    <col min="14" max="25" width="15.77734375" customWidth="1"/>
  </cols>
  <sheetData>
    <row r="2" spans="2:19" ht="23.4" x14ac:dyDescent="0.45">
      <c r="B2" s="361" t="s">
        <v>159</v>
      </c>
      <c r="C2" s="361"/>
      <c r="D2" s="361"/>
      <c r="E2" s="361"/>
      <c r="F2" s="361"/>
      <c r="G2" s="361"/>
      <c r="H2" s="361"/>
    </row>
    <row r="3" spans="2:19" x14ac:dyDescent="0.3">
      <c r="C3" s="88" t="s">
        <v>167</v>
      </c>
      <c r="D3" s="88" t="s">
        <v>168</v>
      </c>
      <c r="E3" s="88"/>
      <c r="F3" s="88"/>
      <c r="G3" s="88"/>
      <c r="H3" s="88"/>
    </row>
    <row r="4" spans="2:19" x14ac:dyDescent="0.3">
      <c r="C4" s="83"/>
      <c r="D4" s="83"/>
      <c r="E4" s="83"/>
      <c r="F4" s="83"/>
      <c r="G4" s="83"/>
      <c r="H4" s="83"/>
    </row>
    <row r="5" spans="2:19" x14ac:dyDescent="0.3">
      <c r="B5" s="84" t="s">
        <v>161</v>
      </c>
      <c r="C5" s="84" t="s">
        <v>54</v>
      </c>
      <c r="D5" s="84" t="s">
        <v>160</v>
      </c>
      <c r="E5" s="84" t="s">
        <v>56</v>
      </c>
    </row>
    <row r="6" spans="2:19" x14ac:dyDescent="0.3">
      <c r="B6" s="85">
        <v>1</v>
      </c>
      <c r="C6" s="91">
        <v>2015</v>
      </c>
      <c r="D6" s="85">
        <v>8175</v>
      </c>
      <c r="H6" t="s">
        <v>162</v>
      </c>
      <c r="J6" s="28">
        <f>AVERAGE(E7:E17)</f>
        <v>0.10437516166454387</v>
      </c>
      <c r="N6" t="s">
        <v>185</v>
      </c>
    </row>
    <row r="7" spans="2:19" ht="15" thickBot="1" x14ac:dyDescent="0.35">
      <c r="B7" s="36">
        <f>B6+1</f>
        <v>2</v>
      </c>
      <c r="C7" s="92">
        <f>C6+1</f>
        <v>2016</v>
      </c>
      <c r="D7" s="85">
        <v>9141</v>
      </c>
      <c r="E7" s="86">
        <f>D7/D6-1</f>
        <v>0.11816513761467884</v>
      </c>
    </row>
    <row r="8" spans="2:19" x14ac:dyDescent="0.3">
      <c r="B8" s="36">
        <f t="shared" ref="B8:C17" si="0">B7+1</f>
        <v>3</v>
      </c>
      <c r="C8" s="92">
        <f t="shared" si="0"/>
        <v>2017</v>
      </c>
      <c r="D8" s="85">
        <v>10010</v>
      </c>
      <c r="E8" s="86">
        <f t="shared" ref="E8:E22" si="1">D8/D7-1</f>
        <v>9.5066185318892993E-2</v>
      </c>
      <c r="H8" t="s">
        <v>163</v>
      </c>
      <c r="J8" s="59">
        <f>(D17/D6)^(1/B17)-1</f>
        <v>9.0635806897211957E-2</v>
      </c>
      <c r="N8" s="95" t="s">
        <v>186</v>
      </c>
      <c r="O8" s="95"/>
    </row>
    <row r="9" spans="2:19" x14ac:dyDescent="0.3">
      <c r="B9" s="36">
        <f t="shared" si="0"/>
        <v>4</v>
      </c>
      <c r="C9" s="92">
        <f t="shared" si="0"/>
        <v>2018</v>
      </c>
      <c r="D9" s="85">
        <v>11292</v>
      </c>
      <c r="E9" s="86">
        <f t="shared" si="1"/>
        <v>0.12807192807192802</v>
      </c>
      <c r="H9" s="26" t="s">
        <v>163</v>
      </c>
      <c r="I9" s="26"/>
      <c r="J9" s="87">
        <f>_xlfn.RRI(B17,D6,D17)</f>
        <v>9.0635806897211957E-2</v>
      </c>
      <c r="N9" t="s">
        <v>187</v>
      </c>
      <c r="O9">
        <v>0.96328016005958983</v>
      </c>
    </row>
    <row r="10" spans="2:19" x14ac:dyDescent="0.3">
      <c r="B10" s="36">
        <f t="shared" si="0"/>
        <v>5</v>
      </c>
      <c r="C10" s="92">
        <f t="shared" si="0"/>
        <v>2019</v>
      </c>
      <c r="D10" s="85">
        <v>12369</v>
      </c>
      <c r="E10" s="86">
        <f t="shared" si="1"/>
        <v>9.5377258235919138E-2</v>
      </c>
      <c r="N10" t="s">
        <v>188</v>
      </c>
      <c r="O10">
        <v>0.92790866676442896</v>
      </c>
      <c r="P10" t="s">
        <v>208</v>
      </c>
      <c r="Q10" t="s">
        <v>209</v>
      </c>
    </row>
    <row r="11" spans="2:19" x14ac:dyDescent="0.3">
      <c r="B11" s="36">
        <f t="shared" si="0"/>
        <v>6</v>
      </c>
      <c r="C11" s="92">
        <f t="shared" si="0"/>
        <v>2020</v>
      </c>
      <c r="D11" s="85">
        <v>13350</v>
      </c>
      <c r="E11" s="86">
        <f t="shared" si="1"/>
        <v>7.9311181178753243E-2</v>
      </c>
      <c r="H11" t="s">
        <v>164</v>
      </c>
      <c r="J11" s="59">
        <f>_xlfn.STDEV.S(E7:E17)</f>
        <v>0.10553072155967105</v>
      </c>
      <c r="N11" t="s">
        <v>189</v>
      </c>
      <c r="O11">
        <v>0.92069953344087185</v>
      </c>
    </row>
    <row r="12" spans="2:19" x14ac:dyDescent="0.3">
      <c r="B12" s="36">
        <f t="shared" si="0"/>
        <v>7</v>
      </c>
      <c r="C12" s="92">
        <f t="shared" si="0"/>
        <v>2021</v>
      </c>
      <c r="D12" s="85">
        <v>14741</v>
      </c>
      <c r="E12" s="86">
        <f t="shared" si="1"/>
        <v>0.1041947565543071</v>
      </c>
      <c r="N12" t="s">
        <v>190</v>
      </c>
      <c r="O12">
        <v>1544.8019273158279</v>
      </c>
    </row>
    <row r="13" spans="2:19" ht="15" thickBot="1" x14ac:dyDescent="0.35">
      <c r="B13" s="36">
        <f t="shared" si="0"/>
        <v>8</v>
      </c>
      <c r="C13" s="92">
        <f t="shared" si="0"/>
        <v>2022</v>
      </c>
      <c r="D13" s="85">
        <v>16897</v>
      </c>
      <c r="E13" s="86">
        <f t="shared" si="1"/>
        <v>0.14625873414286694</v>
      </c>
      <c r="N13" s="93" t="s">
        <v>191</v>
      </c>
      <c r="O13" s="93">
        <v>12</v>
      </c>
    </row>
    <row r="14" spans="2:19" x14ac:dyDescent="0.3">
      <c r="B14" s="36">
        <f t="shared" si="0"/>
        <v>9</v>
      </c>
      <c r="C14" s="92">
        <f t="shared" si="0"/>
        <v>2023</v>
      </c>
      <c r="D14" s="85">
        <v>19126</v>
      </c>
      <c r="E14" s="86">
        <f t="shared" si="1"/>
        <v>0.13191690832692204</v>
      </c>
    </row>
    <row r="15" spans="2:19" ht="15" thickBot="1" x14ac:dyDescent="0.35">
      <c r="B15" s="36">
        <f t="shared" si="0"/>
        <v>10</v>
      </c>
      <c r="C15" s="92">
        <f t="shared" si="0"/>
        <v>2024</v>
      </c>
      <c r="D15" s="85">
        <v>24394</v>
      </c>
      <c r="E15" s="86">
        <f t="shared" si="1"/>
        <v>0.27543657847955672</v>
      </c>
      <c r="N15" t="s">
        <v>192</v>
      </c>
    </row>
    <row r="16" spans="2:19" x14ac:dyDescent="0.3">
      <c r="B16" s="36">
        <f t="shared" si="0"/>
        <v>11</v>
      </c>
      <c r="C16" s="92">
        <f t="shared" si="0"/>
        <v>2025</v>
      </c>
      <c r="D16" s="85">
        <v>20202</v>
      </c>
      <c r="E16" s="86">
        <f t="shared" si="1"/>
        <v>-0.17184553578748873</v>
      </c>
      <c r="N16" s="94"/>
      <c r="O16" s="94" t="s">
        <v>196</v>
      </c>
      <c r="P16" s="94" t="s">
        <v>197</v>
      </c>
      <c r="Q16" s="94" t="s">
        <v>198</v>
      </c>
      <c r="R16" s="94" t="s">
        <v>199</v>
      </c>
      <c r="S16" s="94" t="s">
        <v>200</v>
      </c>
    </row>
    <row r="17" spans="2:22" x14ac:dyDescent="0.3">
      <c r="B17" s="36">
        <f t="shared" si="0"/>
        <v>12</v>
      </c>
      <c r="C17" s="92">
        <f t="shared" si="0"/>
        <v>2026</v>
      </c>
      <c r="D17" s="85">
        <v>23155</v>
      </c>
      <c r="E17" s="86">
        <f t="shared" si="1"/>
        <v>0.14617364617364625</v>
      </c>
      <c r="N17" t="s">
        <v>193</v>
      </c>
      <c r="O17">
        <v>1</v>
      </c>
      <c r="P17">
        <v>307162206.72027969</v>
      </c>
      <c r="Q17">
        <v>307162206.72027969</v>
      </c>
      <c r="R17">
        <v>128.71292915784016</v>
      </c>
      <c r="S17">
        <v>4.9429741565977643E-7</v>
      </c>
    </row>
    <row r="18" spans="2:22" x14ac:dyDescent="0.3">
      <c r="B18" s="36">
        <f t="shared" ref="B18:C18" si="2">B17+1</f>
        <v>13</v>
      </c>
      <c r="C18" s="90">
        <f t="shared" si="2"/>
        <v>2027</v>
      </c>
      <c r="D18" s="97">
        <f>FORECAST(B18,$D$6:$D$17,$B$6:$B$17)</f>
        <v>24764.07575757576</v>
      </c>
      <c r="E18" s="86">
        <f t="shared" si="1"/>
        <v>6.9491503242313124E-2</v>
      </c>
      <c r="N18" t="s">
        <v>194</v>
      </c>
      <c r="O18">
        <v>10</v>
      </c>
      <c r="P18">
        <v>23864129.946386963</v>
      </c>
      <c r="Q18">
        <v>2386412.9946386963</v>
      </c>
    </row>
    <row r="19" spans="2:22" ht="15" thickBot="1" x14ac:dyDescent="0.35">
      <c r="B19" s="36">
        <f t="shared" ref="B19:C19" si="3">B18+1</f>
        <v>14</v>
      </c>
      <c r="C19" s="90">
        <f t="shared" si="3"/>
        <v>2028</v>
      </c>
      <c r="D19" s="97">
        <f>FORECAST(B19,$D$6:$D$17,$B$6:$B$17)</f>
        <v>26229.677156177153</v>
      </c>
      <c r="E19" s="86">
        <f t="shared" si="1"/>
        <v>5.9182559969072956E-2</v>
      </c>
      <c r="N19" s="93" t="s">
        <v>35</v>
      </c>
      <c r="O19" s="93">
        <v>11</v>
      </c>
      <c r="P19" s="93">
        <v>331026336.66666663</v>
      </c>
      <c r="Q19" s="93"/>
      <c r="R19" s="93"/>
      <c r="S19" s="93"/>
    </row>
    <row r="20" spans="2:22" ht="15" thickBot="1" x14ac:dyDescent="0.35">
      <c r="B20" s="36">
        <f t="shared" ref="B20:C20" si="4">B19+1</f>
        <v>15</v>
      </c>
      <c r="C20" s="90">
        <f t="shared" si="4"/>
        <v>2029</v>
      </c>
      <c r="D20" s="97">
        <f t="shared" ref="D20:D22" si="5">FORECAST(B20,$D$6:$D$17,$B$6:$B$17)</f>
        <v>27695.278554778553</v>
      </c>
      <c r="E20" s="86">
        <f t="shared" si="1"/>
        <v>5.5875693393971027E-2</v>
      </c>
    </row>
    <row r="21" spans="2:22" x14ac:dyDescent="0.3">
      <c r="B21" s="36">
        <f t="shared" ref="B21:C21" si="6">B20+1</f>
        <v>16</v>
      </c>
      <c r="C21" s="90">
        <f t="shared" si="6"/>
        <v>2030</v>
      </c>
      <c r="D21" s="97">
        <f t="shared" si="5"/>
        <v>29160.879953379954</v>
      </c>
      <c r="E21" s="86">
        <f t="shared" si="1"/>
        <v>5.2918817758145442E-2</v>
      </c>
      <c r="N21" s="94"/>
      <c r="O21" s="94" t="s">
        <v>201</v>
      </c>
      <c r="P21" s="94" t="s">
        <v>190</v>
      </c>
      <c r="Q21" s="94" t="s">
        <v>202</v>
      </c>
      <c r="R21" s="94" t="s">
        <v>203</v>
      </c>
      <c r="S21" s="94" t="s">
        <v>204</v>
      </c>
      <c r="T21" s="94" t="s">
        <v>205</v>
      </c>
      <c r="U21" s="94" t="s">
        <v>206</v>
      </c>
      <c r="V21" s="94" t="s">
        <v>207</v>
      </c>
    </row>
    <row r="22" spans="2:22" x14ac:dyDescent="0.3">
      <c r="B22" s="36">
        <f t="shared" ref="B22:C22" si="7">B21+1</f>
        <v>17</v>
      </c>
      <c r="C22" s="90">
        <f t="shared" si="7"/>
        <v>2031</v>
      </c>
      <c r="D22" s="97">
        <f t="shared" si="5"/>
        <v>30626.481351981354</v>
      </c>
      <c r="E22" s="86">
        <f t="shared" si="1"/>
        <v>5.0259162307326966E-2</v>
      </c>
      <c r="N22" s="26" t="s">
        <v>195</v>
      </c>
      <c r="O22" s="26">
        <v>5711.2575757575778</v>
      </c>
      <c r="P22">
        <v>950.75986250526034</v>
      </c>
      <c r="Q22">
        <v>6.0070453129020036</v>
      </c>
      <c r="R22">
        <v>1.3087393673251357E-4</v>
      </c>
      <c r="S22">
        <v>3592.8325872004789</v>
      </c>
      <c r="T22">
        <v>7829.6825643146767</v>
      </c>
      <c r="U22">
        <v>3592.8325872004789</v>
      </c>
      <c r="V22">
        <v>7829.6825643146767</v>
      </c>
    </row>
    <row r="23" spans="2:22" ht="15" thickBot="1" x14ac:dyDescent="0.35">
      <c r="N23" s="96" t="s">
        <v>161</v>
      </c>
      <c r="O23" s="96">
        <v>1465.6013986013982</v>
      </c>
      <c r="P23" s="93">
        <v>129.18282687614158</v>
      </c>
      <c r="Q23" s="93">
        <v>11.345172063826977</v>
      </c>
      <c r="R23" s="93">
        <v>4.9429741565977823E-7</v>
      </c>
      <c r="S23" s="93">
        <v>1177.7641230292504</v>
      </c>
      <c r="T23" s="93">
        <v>1753.4386741735459</v>
      </c>
      <c r="U23" s="93">
        <v>1177.7641230292504</v>
      </c>
      <c r="V23" s="93">
        <v>1753.4386741735459</v>
      </c>
    </row>
    <row r="25" spans="2:22" x14ac:dyDescent="0.3">
      <c r="D25" t="s">
        <v>210</v>
      </c>
    </row>
    <row r="27" spans="2:22" x14ac:dyDescent="0.3">
      <c r="B27" s="36">
        <v>13</v>
      </c>
      <c r="C27" s="90">
        <v>2027</v>
      </c>
      <c r="D27" s="97">
        <f>$O$22+B18*$O$23</f>
        <v>24764.075757575753</v>
      </c>
      <c r="E27" s="86">
        <v>6.949150324231268E-2</v>
      </c>
    </row>
    <row r="28" spans="2:22" x14ac:dyDescent="0.3">
      <c r="B28" s="36">
        <v>14</v>
      </c>
      <c r="C28" s="90">
        <v>2028</v>
      </c>
      <c r="D28" s="97">
        <f>$O$22+B19*$O$23</f>
        <v>26229.677156177153</v>
      </c>
      <c r="E28" s="86">
        <f>D28/D27-1</f>
        <v>5.9182559969073179E-2</v>
      </c>
    </row>
    <row r="29" spans="2:22" x14ac:dyDescent="0.3">
      <c r="B29" s="36">
        <v>15</v>
      </c>
      <c r="C29" s="90">
        <v>2029</v>
      </c>
      <c r="D29" s="97">
        <f t="shared" ref="D29:D31" si="8">$O$22+B20*$O$23</f>
        <v>27695.278554778553</v>
      </c>
      <c r="E29" s="86">
        <f t="shared" ref="E29:E31" si="9">D29/D28-1</f>
        <v>5.5875693393971027E-2</v>
      </c>
    </row>
    <row r="30" spans="2:22" x14ac:dyDescent="0.3">
      <c r="B30" s="36">
        <v>16</v>
      </c>
      <c r="C30" s="90">
        <v>2030</v>
      </c>
      <c r="D30" s="97">
        <f t="shared" si="8"/>
        <v>29160.879953379947</v>
      </c>
      <c r="E30" s="86">
        <f t="shared" si="9"/>
        <v>5.291881775814522E-2</v>
      </c>
    </row>
    <row r="31" spans="2:22" x14ac:dyDescent="0.3">
      <c r="B31" s="36">
        <v>17</v>
      </c>
      <c r="C31" s="90">
        <v>2031</v>
      </c>
      <c r="D31" s="97">
        <f t="shared" si="8"/>
        <v>30626.481351981347</v>
      </c>
      <c r="E31" s="86">
        <f t="shared" si="9"/>
        <v>5.0259162307326966E-2</v>
      </c>
    </row>
  </sheetData>
  <mergeCells count="1">
    <mergeCell ref="B2:H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6FD8D-BC7E-4CC9-BD74-2F796EFBC064}">
  <sheetPr>
    <tabColor rgb="FFFF0000"/>
  </sheetPr>
  <dimension ref="B3:AA32"/>
  <sheetViews>
    <sheetView showGridLines="0" topLeftCell="A3" workbookViewId="0">
      <pane ySplit="1" topLeftCell="A14" activePane="bottomLeft" state="frozen"/>
      <selection activeCell="Z26" sqref="Z26"/>
      <selection pane="bottomLeft" activeCell="D27" sqref="D27"/>
    </sheetView>
  </sheetViews>
  <sheetFormatPr defaultRowHeight="14.4" x14ac:dyDescent="0.3"/>
  <cols>
    <col min="1" max="1" width="1.88671875" customWidth="1"/>
    <col min="2" max="2" width="11.33203125" bestFit="1" customWidth="1"/>
    <col min="3" max="3" width="11" customWidth="1"/>
    <col min="4" max="4" width="11.109375" customWidth="1"/>
    <col min="5" max="5" width="14" customWidth="1"/>
    <col min="10" max="10" width="7.109375" customWidth="1"/>
    <col min="11" max="11" width="13.109375" customWidth="1"/>
    <col min="14" max="14" width="20" customWidth="1"/>
  </cols>
  <sheetData>
    <row r="3" spans="2:27" ht="23.4" x14ac:dyDescent="0.45">
      <c r="B3" s="361" t="s">
        <v>159</v>
      </c>
      <c r="C3" s="361"/>
      <c r="D3" s="361"/>
      <c r="E3" s="361"/>
      <c r="F3" s="361"/>
      <c r="G3" s="361"/>
      <c r="H3" s="361"/>
      <c r="K3" s="361" t="s">
        <v>165</v>
      </c>
      <c r="L3" s="361"/>
      <c r="M3" s="361"/>
      <c r="N3" s="361"/>
      <c r="O3" s="361"/>
      <c r="P3" s="361"/>
      <c r="Q3" s="361"/>
    </row>
    <row r="4" spans="2:27" x14ac:dyDescent="0.3">
      <c r="C4" s="88" t="s">
        <v>167</v>
      </c>
      <c r="D4" s="88" t="s">
        <v>168</v>
      </c>
      <c r="E4" s="88"/>
      <c r="F4" s="88"/>
      <c r="G4" s="88"/>
      <c r="H4" s="88"/>
      <c r="I4" s="88"/>
      <c r="J4" s="88"/>
      <c r="K4" s="88"/>
      <c r="L4" s="88"/>
      <c r="M4" s="88"/>
    </row>
    <row r="5" spans="2:27" x14ac:dyDescent="0.3">
      <c r="C5" s="83"/>
      <c r="D5" s="83"/>
      <c r="E5" s="83"/>
      <c r="F5" s="83"/>
      <c r="G5" s="83"/>
      <c r="H5" s="83"/>
      <c r="I5" s="83"/>
      <c r="J5" s="83"/>
      <c r="L5" s="83"/>
      <c r="M5" s="83"/>
      <c r="N5" s="83"/>
      <c r="O5" s="83"/>
      <c r="P5" s="83"/>
      <c r="Q5" s="83"/>
    </row>
    <row r="6" spans="2:27" x14ac:dyDescent="0.3">
      <c r="B6" s="84" t="s">
        <v>161</v>
      </c>
      <c r="C6" s="84" t="s">
        <v>54</v>
      </c>
      <c r="D6" s="84" t="s">
        <v>160</v>
      </c>
      <c r="E6" s="84" t="s">
        <v>56</v>
      </c>
      <c r="K6" s="84" t="s">
        <v>161</v>
      </c>
      <c r="L6" s="84" t="s">
        <v>54</v>
      </c>
      <c r="M6" s="84" t="s">
        <v>160</v>
      </c>
      <c r="N6" s="84" t="s">
        <v>56</v>
      </c>
    </row>
    <row r="7" spans="2:27" x14ac:dyDescent="0.3">
      <c r="B7" s="85">
        <v>1</v>
      </c>
      <c r="C7" s="85">
        <v>2015</v>
      </c>
      <c r="D7" s="85">
        <v>8175</v>
      </c>
      <c r="K7" s="85">
        <v>1</v>
      </c>
      <c r="L7" s="85">
        <v>2015</v>
      </c>
      <c r="M7" s="85">
        <v>31972</v>
      </c>
      <c r="R7" t="s">
        <v>169</v>
      </c>
    </row>
    <row r="8" spans="2:27" x14ac:dyDescent="0.3">
      <c r="B8" s="36">
        <f>B7+1</f>
        <v>2</v>
      </c>
      <c r="C8" s="36">
        <f>C7+1</f>
        <v>2016</v>
      </c>
      <c r="D8" s="85">
        <v>9141</v>
      </c>
      <c r="E8" s="86">
        <f>D8/D7-1</f>
        <v>0.11816513761467884</v>
      </c>
      <c r="K8" s="36">
        <f>K7+1</f>
        <v>2</v>
      </c>
      <c r="L8" s="36">
        <f>L7+1</f>
        <v>2016</v>
      </c>
      <c r="M8" s="85">
        <v>32186</v>
      </c>
      <c r="N8" s="86">
        <f>M8/M7-1</f>
        <v>6.6933566871012484E-3</v>
      </c>
      <c r="R8" t="s">
        <v>170</v>
      </c>
    </row>
    <row r="9" spans="2:27" x14ac:dyDescent="0.3">
      <c r="B9" s="36">
        <f t="shared" ref="B9:B18" si="0">B8+1</f>
        <v>3</v>
      </c>
      <c r="C9" s="36">
        <f t="shared" ref="C9:C18" si="1">C8+1</f>
        <v>2017</v>
      </c>
      <c r="D9" s="85">
        <v>10010</v>
      </c>
      <c r="E9" s="86">
        <f t="shared" ref="E9:E18" si="2">D9/D8-1</f>
        <v>9.5066185318892993E-2</v>
      </c>
      <c r="K9" s="36">
        <f t="shared" ref="K9:L18" si="3">K8+1</f>
        <v>3</v>
      </c>
      <c r="L9" s="36">
        <f t="shared" si="3"/>
        <v>2017</v>
      </c>
      <c r="M9" s="85">
        <v>33162</v>
      </c>
      <c r="N9" s="86">
        <f t="shared" ref="N9:N17" si="4">M9/M8-1</f>
        <v>3.03237432424035E-2</v>
      </c>
    </row>
    <row r="10" spans="2:27" ht="23.4" x14ac:dyDescent="0.3">
      <c r="B10" s="36">
        <f t="shared" si="0"/>
        <v>4</v>
      </c>
      <c r="C10" s="36">
        <f t="shared" si="1"/>
        <v>2018</v>
      </c>
      <c r="D10" s="85">
        <v>11292</v>
      </c>
      <c r="E10" s="86">
        <f t="shared" si="2"/>
        <v>0.12807192807192802</v>
      </c>
      <c r="K10" s="36">
        <f t="shared" si="3"/>
        <v>4</v>
      </c>
      <c r="L10" s="36">
        <f t="shared" si="3"/>
        <v>2018</v>
      </c>
      <c r="M10" s="85">
        <v>35545</v>
      </c>
      <c r="N10" s="86">
        <f t="shared" si="4"/>
        <v>7.1859357095470644E-2</v>
      </c>
      <c r="R10" s="89" t="s">
        <v>171</v>
      </c>
    </row>
    <row r="11" spans="2:27" x14ac:dyDescent="0.3">
      <c r="B11" s="36">
        <f t="shared" si="0"/>
        <v>5</v>
      </c>
      <c r="C11" s="36">
        <f t="shared" si="1"/>
        <v>2019</v>
      </c>
      <c r="D11" s="85">
        <v>12369</v>
      </c>
      <c r="E11" s="86">
        <f t="shared" si="2"/>
        <v>9.5377258235919138E-2</v>
      </c>
      <c r="K11" s="36">
        <f t="shared" si="3"/>
        <v>5</v>
      </c>
      <c r="L11" s="36">
        <f t="shared" si="3"/>
        <v>2019</v>
      </c>
      <c r="M11" s="85">
        <v>39310</v>
      </c>
      <c r="N11" s="86">
        <f t="shared" si="4"/>
        <v>0.1059220706147137</v>
      </c>
      <c r="P11" s="83"/>
      <c r="Q11" s="83"/>
      <c r="S11" s="83"/>
      <c r="T11" s="83"/>
      <c r="U11" s="83"/>
      <c r="V11" s="83"/>
      <c r="W11" s="83"/>
      <c r="X11" s="83"/>
      <c r="Y11" s="83"/>
      <c r="Z11" s="83"/>
      <c r="AA11" s="83"/>
    </row>
    <row r="12" spans="2:27" ht="18" x14ac:dyDescent="0.3">
      <c r="B12" s="36">
        <f t="shared" si="0"/>
        <v>6</v>
      </c>
      <c r="C12" s="36">
        <f t="shared" si="1"/>
        <v>2020</v>
      </c>
      <c r="D12" s="85">
        <v>13350</v>
      </c>
      <c r="E12" s="86">
        <f t="shared" si="2"/>
        <v>7.9311181178753243E-2</v>
      </c>
      <c r="K12" s="36">
        <f t="shared" si="3"/>
        <v>6</v>
      </c>
      <c r="L12" s="36">
        <f t="shared" si="3"/>
        <v>2020</v>
      </c>
      <c r="M12" s="85">
        <v>39783</v>
      </c>
      <c r="N12" s="86">
        <f t="shared" si="4"/>
        <v>1.2032561689137689E-2</v>
      </c>
      <c r="R12" s="21" t="s">
        <v>172</v>
      </c>
    </row>
    <row r="13" spans="2:27" x14ac:dyDescent="0.3">
      <c r="B13" s="36">
        <f t="shared" si="0"/>
        <v>7</v>
      </c>
      <c r="C13" s="36">
        <f t="shared" si="1"/>
        <v>2021</v>
      </c>
      <c r="D13" s="85">
        <v>14741</v>
      </c>
      <c r="E13" s="86">
        <f t="shared" si="2"/>
        <v>0.1041947565543071</v>
      </c>
      <c r="K13" s="36">
        <f t="shared" si="3"/>
        <v>7</v>
      </c>
      <c r="L13" s="36">
        <f t="shared" si="3"/>
        <v>2021</v>
      </c>
      <c r="M13" s="85">
        <v>47028</v>
      </c>
      <c r="N13" s="86">
        <f t="shared" si="4"/>
        <v>0.18211296282331646</v>
      </c>
    </row>
    <row r="14" spans="2:27" x14ac:dyDescent="0.3">
      <c r="B14" s="36">
        <f t="shared" si="0"/>
        <v>8</v>
      </c>
      <c r="C14" s="36">
        <f t="shared" si="1"/>
        <v>2022</v>
      </c>
      <c r="D14" s="85">
        <v>16897</v>
      </c>
      <c r="E14" s="86">
        <f t="shared" si="2"/>
        <v>0.14625873414286694</v>
      </c>
      <c r="K14" s="36">
        <f t="shared" si="3"/>
        <v>8</v>
      </c>
      <c r="L14" s="36">
        <f t="shared" si="3"/>
        <v>2022</v>
      </c>
      <c r="M14" s="85">
        <v>52446</v>
      </c>
      <c r="N14" s="86">
        <f t="shared" si="4"/>
        <v>0.11520796121459553</v>
      </c>
      <c r="R14" t="s">
        <v>173</v>
      </c>
    </row>
    <row r="15" spans="2:27" x14ac:dyDescent="0.3">
      <c r="B15" s="36">
        <f t="shared" si="0"/>
        <v>9</v>
      </c>
      <c r="C15" s="36">
        <f t="shared" si="1"/>
        <v>2023</v>
      </c>
      <c r="D15" s="85">
        <v>19126</v>
      </c>
      <c r="E15" s="86">
        <f t="shared" si="2"/>
        <v>0.13191690832692204</v>
      </c>
      <c r="K15" s="36">
        <f t="shared" si="3"/>
        <v>9</v>
      </c>
      <c r="L15" s="36">
        <f t="shared" si="3"/>
        <v>2023</v>
      </c>
      <c r="M15" s="85">
        <v>60580</v>
      </c>
      <c r="N15" s="86">
        <f t="shared" si="4"/>
        <v>0.15509285741524614</v>
      </c>
      <c r="R15" s="22"/>
    </row>
    <row r="16" spans="2:27" x14ac:dyDescent="0.3">
      <c r="B16" s="36">
        <f t="shared" si="0"/>
        <v>10</v>
      </c>
      <c r="C16" s="36">
        <f t="shared" si="1"/>
        <v>2024</v>
      </c>
      <c r="D16" s="85">
        <v>24394</v>
      </c>
      <c r="E16" s="86">
        <f t="shared" si="2"/>
        <v>0.27543657847955672</v>
      </c>
      <c r="K16" s="36">
        <f t="shared" si="3"/>
        <v>10</v>
      </c>
      <c r="L16" s="36">
        <f t="shared" si="3"/>
        <v>2024</v>
      </c>
      <c r="M16" s="85">
        <v>61896</v>
      </c>
      <c r="N16" s="86">
        <f t="shared" si="4"/>
        <v>2.1723341036645749E-2</v>
      </c>
      <c r="R16" s="22" t="s">
        <v>174</v>
      </c>
    </row>
    <row r="17" spans="2:18" x14ac:dyDescent="0.3">
      <c r="B17" s="36">
        <f t="shared" si="0"/>
        <v>11</v>
      </c>
      <c r="C17" s="36">
        <f t="shared" si="1"/>
        <v>2025</v>
      </c>
      <c r="D17" s="85">
        <v>20202</v>
      </c>
      <c r="E17" s="86">
        <f t="shared" si="2"/>
        <v>-0.17184553578748873</v>
      </c>
      <c r="K17" s="36">
        <f t="shared" si="3"/>
        <v>11</v>
      </c>
      <c r="L17" s="36">
        <f t="shared" si="3"/>
        <v>2025</v>
      </c>
      <c r="M17" s="85">
        <v>61328</v>
      </c>
      <c r="N17" s="86">
        <f t="shared" si="4"/>
        <v>-9.1766834690448773E-3</v>
      </c>
      <c r="R17" s="22" t="s">
        <v>175</v>
      </c>
    </row>
    <row r="18" spans="2:18" x14ac:dyDescent="0.3">
      <c r="B18" s="36">
        <f t="shared" si="0"/>
        <v>12</v>
      </c>
      <c r="C18" s="36">
        <f t="shared" si="1"/>
        <v>2026</v>
      </c>
      <c r="D18" s="85">
        <v>23155</v>
      </c>
      <c r="E18" s="86">
        <f t="shared" si="2"/>
        <v>0.14617364617364625</v>
      </c>
      <c r="K18" s="36">
        <f t="shared" si="3"/>
        <v>12</v>
      </c>
      <c r="L18" s="36">
        <f t="shared" si="3"/>
        <v>2026</v>
      </c>
      <c r="M18" s="85">
        <v>64468</v>
      </c>
      <c r="N18" s="86">
        <f>M18/M17-1</f>
        <v>5.1200104356900589E-2</v>
      </c>
      <c r="R18" s="22" t="s">
        <v>176</v>
      </c>
    </row>
    <row r="20" spans="2:18" x14ac:dyDescent="0.3">
      <c r="R20" t="s">
        <v>177</v>
      </c>
    </row>
    <row r="21" spans="2:18" x14ac:dyDescent="0.3">
      <c r="B21" t="s">
        <v>162</v>
      </c>
      <c r="D21" s="28">
        <f>AVERAGE(E8:E18)</f>
        <v>0.10437516166454387</v>
      </c>
      <c r="K21" t="s">
        <v>162</v>
      </c>
      <c r="M21" s="28">
        <f>AVERAGE(N8:N18)</f>
        <v>6.7544693882407858E-2</v>
      </c>
    </row>
    <row r="22" spans="2:18" ht="18" x14ac:dyDescent="0.3">
      <c r="R22" s="21" t="s">
        <v>178</v>
      </c>
    </row>
    <row r="23" spans="2:18" x14ac:dyDescent="0.3">
      <c r="B23" t="s">
        <v>163</v>
      </c>
      <c r="D23" s="59">
        <f>(D18/D7)^(1/B18)-1</f>
        <v>9.0635806897211957E-2</v>
      </c>
      <c r="K23" t="s">
        <v>163</v>
      </c>
      <c r="M23" s="59">
        <f>(M18/M7)^(1/K18)-1</f>
        <v>6.0183887029490402E-2</v>
      </c>
    </row>
    <row r="24" spans="2:18" x14ac:dyDescent="0.3">
      <c r="B24" s="26" t="s">
        <v>163</v>
      </c>
      <c r="C24" s="26"/>
      <c r="D24" s="87">
        <f>_xlfn.RRI(B18,D7,D18)</f>
        <v>9.0635806897211957E-2</v>
      </c>
      <c r="K24" s="26" t="s">
        <v>163</v>
      </c>
      <c r="L24" s="26"/>
      <c r="M24" s="87">
        <f>_xlfn.RRI(K18,M7,M18)</f>
        <v>6.0183887029490402E-2</v>
      </c>
      <c r="R24" t="s">
        <v>173</v>
      </c>
    </row>
    <row r="25" spans="2:18" x14ac:dyDescent="0.3">
      <c r="R25" s="22"/>
    </row>
    <row r="26" spans="2:18" x14ac:dyDescent="0.3">
      <c r="B26" t="s">
        <v>164</v>
      </c>
      <c r="D26" s="59">
        <f>_xlfn.STDEV.S(E8:E18)</f>
        <v>0.10553072155967105</v>
      </c>
      <c r="K26" t="s">
        <v>166</v>
      </c>
      <c r="M26" s="59">
        <f>_xlfn.STDEV.S(N8:N18)</f>
        <v>6.4012958495984887E-2</v>
      </c>
      <c r="R26" s="22" t="s">
        <v>179</v>
      </c>
    </row>
    <row r="27" spans="2:18" x14ac:dyDescent="0.3">
      <c r="R27" s="22" t="s">
        <v>180</v>
      </c>
    </row>
    <row r="28" spans="2:18" x14ac:dyDescent="0.3">
      <c r="R28" s="22" t="s">
        <v>181</v>
      </c>
    </row>
    <row r="29" spans="2:18" x14ac:dyDescent="0.3">
      <c r="R29" s="22" t="s">
        <v>182</v>
      </c>
    </row>
    <row r="30" spans="2:18" x14ac:dyDescent="0.3">
      <c r="R30" s="22" t="s">
        <v>183</v>
      </c>
    </row>
    <row r="32" spans="2:18" x14ac:dyDescent="0.3">
      <c r="R32" t="s">
        <v>184</v>
      </c>
    </row>
  </sheetData>
  <mergeCells count="2">
    <mergeCell ref="B3:H3"/>
    <mergeCell ref="K3:Q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07426-20AB-4B18-AB6C-574C422138A5}">
  <dimension ref="B2:X110"/>
  <sheetViews>
    <sheetView showGridLines="0" zoomScale="120" workbookViewId="0">
      <selection activeCell="M9" sqref="M9"/>
    </sheetView>
  </sheetViews>
  <sheetFormatPr defaultRowHeight="14.4" x14ac:dyDescent="0.3"/>
  <cols>
    <col min="1" max="1" width="1.88671875" customWidth="1"/>
    <col min="2" max="2" width="10.33203125" bestFit="1" customWidth="1"/>
    <col min="3" max="3" width="11.5546875" bestFit="1" customWidth="1"/>
    <col min="4" max="4" width="14.21875" bestFit="1" customWidth="1"/>
    <col min="5" max="5" width="10.5546875" bestFit="1" customWidth="1"/>
    <col min="6" max="6" width="10.33203125" bestFit="1" customWidth="1"/>
    <col min="7" max="7" width="11.5546875" bestFit="1" customWidth="1"/>
    <col min="8" max="8" width="14.21875" bestFit="1" customWidth="1"/>
    <col min="12" max="12" width="22.109375" customWidth="1"/>
    <col min="13" max="13" width="12" bestFit="1" customWidth="1"/>
    <col min="14" max="14" width="13.44140625" bestFit="1" customWidth="1"/>
    <col min="15" max="16" width="12" bestFit="1" customWidth="1"/>
    <col min="17" max="17" width="12.6640625" bestFit="1" customWidth="1"/>
    <col min="18" max="18" width="12" bestFit="1" customWidth="1"/>
    <col min="19" max="19" width="12.6640625" bestFit="1" customWidth="1"/>
    <col min="20" max="20" width="12.109375" bestFit="1" customWidth="1"/>
    <col min="22" max="22" width="14.109375" bestFit="1" customWidth="1"/>
    <col min="23" max="23" width="37.88671875" bestFit="1" customWidth="1"/>
    <col min="24" max="24" width="18.5546875" bestFit="1" customWidth="1"/>
  </cols>
  <sheetData>
    <row r="2" spans="2:24" x14ac:dyDescent="0.3">
      <c r="V2" s="10" t="s">
        <v>388</v>
      </c>
      <c r="W2" s="10" t="s">
        <v>389</v>
      </c>
      <c r="X2" s="10" t="s">
        <v>390</v>
      </c>
    </row>
    <row r="3" spans="2:24" ht="19.8" x14ac:dyDescent="0.4">
      <c r="B3" s="362" t="s">
        <v>431</v>
      </c>
      <c r="C3" s="362"/>
      <c r="D3" s="362"/>
      <c r="E3" s="362"/>
      <c r="G3" s="362" t="s">
        <v>432</v>
      </c>
      <c r="H3" s="362"/>
      <c r="I3" s="362"/>
      <c r="J3" s="362"/>
      <c r="V3" s="130" t="s">
        <v>193</v>
      </c>
      <c r="W3" s="130" t="s">
        <v>391</v>
      </c>
      <c r="X3" s="130" t="s">
        <v>392</v>
      </c>
    </row>
    <row r="4" spans="2:24" x14ac:dyDescent="0.3">
      <c r="V4" s="130" t="s">
        <v>393</v>
      </c>
      <c r="W4" s="130" t="s">
        <v>394</v>
      </c>
      <c r="X4" s="130" t="s">
        <v>395</v>
      </c>
    </row>
    <row r="5" spans="2:24" x14ac:dyDescent="0.3">
      <c r="B5" s="139" t="s">
        <v>428</v>
      </c>
      <c r="C5" s="140" t="s">
        <v>429</v>
      </c>
      <c r="D5" s="140" t="s">
        <v>430</v>
      </c>
      <c r="F5" s="8"/>
      <c r="G5" s="140" t="s">
        <v>429</v>
      </c>
      <c r="H5" s="140" t="s">
        <v>430</v>
      </c>
      <c r="V5" s="130" t="s">
        <v>396</v>
      </c>
      <c r="W5" s="130" t="s">
        <v>397</v>
      </c>
      <c r="X5" s="130" t="s">
        <v>398</v>
      </c>
    </row>
    <row r="6" spans="2:24" x14ac:dyDescent="0.3">
      <c r="B6" s="141">
        <v>44249</v>
      </c>
      <c r="C6" s="142">
        <v>2994.1999510000001</v>
      </c>
      <c r="G6" s="143">
        <v>14529.150390999999</v>
      </c>
      <c r="L6" t="s">
        <v>433</v>
      </c>
      <c r="M6" s="134">
        <f>SLOPE(D6:D110,H6:H110)</f>
        <v>1.24211963040074</v>
      </c>
      <c r="V6" s="130" t="s">
        <v>399</v>
      </c>
      <c r="W6" s="130" t="s">
        <v>400</v>
      </c>
      <c r="X6" s="130" t="s">
        <v>401</v>
      </c>
    </row>
    <row r="7" spans="2:24" x14ac:dyDescent="0.3">
      <c r="B7" s="141">
        <v>44256</v>
      </c>
      <c r="C7" s="142">
        <v>3286.1000979999999</v>
      </c>
      <c r="D7" s="59">
        <f>C7/C6-1</f>
        <v>9.7488528413912867E-2</v>
      </c>
      <c r="G7" s="143">
        <v>14938.099609000001</v>
      </c>
      <c r="H7" s="59">
        <f>G7/G6-1</f>
        <v>2.8146808794361711E-2</v>
      </c>
      <c r="L7" t="s">
        <v>434</v>
      </c>
      <c r="M7" s="134">
        <f>_xlfn.COVARIANCE.S(D7:D110,H7:H110)/_xlfn.VAR.P(H7:H110)</f>
        <v>1.2541790442881253</v>
      </c>
      <c r="V7" s="130" t="s">
        <v>402</v>
      </c>
      <c r="W7" s="130" t="s">
        <v>403</v>
      </c>
      <c r="X7" s="130" t="s">
        <v>404</v>
      </c>
    </row>
    <row r="8" spans="2:24" x14ac:dyDescent="0.3">
      <c r="B8" s="141">
        <v>44263</v>
      </c>
      <c r="C8" s="142">
        <v>3129.3500979999999</v>
      </c>
      <c r="D8" s="59">
        <f t="shared" ref="D8:D71" si="0">C8/C7-1</f>
        <v>-4.7700920643105715E-2</v>
      </c>
      <c r="G8" s="143">
        <v>15030.950194999999</v>
      </c>
      <c r="H8" s="59">
        <f t="shared" ref="H8:H71" si="1">G8/G7-1</f>
        <v>6.2156893065605789E-3</v>
      </c>
      <c r="V8" s="130" t="s">
        <v>405</v>
      </c>
      <c r="W8" s="130" t="s">
        <v>406</v>
      </c>
      <c r="X8" s="130" t="s">
        <v>407</v>
      </c>
    </row>
    <row r="9" spans="2:24" x14ac:dyDescent="0.3">
      <c r="B9" s="141">
        <v>44270</v>
      </c>
      <c r="C9" s="142">
        <v>2960.3000489999999</v>
      </c>
      <c r="D9" s="59">
        <f t="shared" si="0"/>
        <v>-5.402081700863115E-2</v>
      </c>
      <c r="G9" s="143">
        <v>14744</v>
      </c>
      <c r="H9" s="59">
        <f t="shared" si="1"/>
        <v>-1.9090622434199345E-2</v>
      </c>
      <c r="L9" t="s">
        <v>435</v>
      </c>
      <c r="M9" s="134">
        <f>M30</f>
        <v>1.2421196304007405</v>
      </c>
      <c r="V9" s="130" t="s">
        <v>408</v>
      </c>
      <c r="W9" s="130" t="s">
        <v>409</v>
      </c>
      <c r="X9" s="130" t="s">
        <v>410</v>
      </c>
    </row>
    <row r="10" spans="2:24" x14ac:dyDescent="0.3">
      <c r="B10" s="141">
        <v>44277</v>
      </c>
      <c r="C10" s="142">
        <v>2855.1999510000001</v>
      </c>
      <c r="D10" s="59">
        <f t="shared" si="0"/>
        <v>-3.5503190980759936E-2</v>
      </c>
      <c r="G10" s="143">
        <v>14507.299805000001</v>
      </c>
      <c r="H10" s="59">
        <f t="shared" si="1"/>
        <v>-1.6054001288659747E-2</v>
      </c>
    </row>
    <row r="11" spans="2:24" x14ac:dyDescent="0.3">
      <c r="B11" s="141">
        <v>44284</v>
      </c>
      <c r="C11" s="142">
        <v>2912.6999510000001</v>
      </c>
      <c r="D11" s="59">
        <f t="shared" si="0"/>
        <v>2.0138694657745981E-2</v>
      </c>
      <c r="G11" s="143">
        <v>14867.349609000001</v>
      </c>
      <c r="H11" s="59">
        <f t="shared" si="1"/>
        <v>2.4818526454930545E-2</v>
      </c>
      <c r="V11" s="10" t="s">
        <v>411</v>
      </c>
      <c r="W11" s="10" t="s">
        <v>412</v>
      </c>
      <c r="X11" s="10" t="s">
        <v>413</v>
      </c>
    </row>
    <row r="12" spans="2:24" x14ac:dyDescent="0.3">
      <c r="B12" s="141">
        <v>44291</v>
      </c>
      <c r="C12" s="142">
        <v>2947.75</v>
      </c>
      <c r="D12" s="59">
        <f t="shared" si="0"/>
        <v>1.2033525453923444E-2</v>
      </c>
      <c r="G12" s="143">
        <v>14834.849609000001</v>
      </c>
      <c r="H12" s="59">
        <f t="shared" si="1"/>
        <v>-2.1859982347038898E-3</v>
      </c>
      <c r="V12" s="130" t="s">
        <v>399</v>
      </c>
      <c r="W12" s="10" t="s">
        <v>414</v>
      </c>
      <c r="X12" s="130" t="s">
        <v>415</v>
      </c>
    </row>
    <row r="13" spans="2:24" x14ac:dyDescent="0.3">
      <c r="B13" s="141">
        <v>44298</v>
      </c>
      <c r="C13" s="142">
        <v>2919.8999020000001</v>
      </c>
      <c r="D13" s="59">
        <f t="shared" si="0"/>
        <v>-9.4479172250020449E-3</v>
      </c>
      <c r="G13" s="143">
        <v>14617.849609000001</v>
      </c>
      <c r="H13" s="59">
        <f t="shared" si="1"/>
        <v>-1.4627718225626696E-2</v>
      </c>
      <c r="L13" t="s">
        <v>185</v>
      </c>
      <c r="V13" s="130" t="s">
        <v>416</v>
      </c>
      <c r="W13" s="10" t="s">
        <v>417</v>
      </c>
      <c r="X13" s="130" t="s">
        <v>418</v>
      </c>
    </row>
    <row r="14" spans="2:24" ht="15" thickBot="1" x14ac:dyDescent="0.35">
      <c r="B14" s="141">
        <v>44305</v>
      </c>
      <c r="C14" s="142">
        <v>2713.6999510000001</v>
      </c>
      <c r="D14" s="59">
        <f t="shared" si="0"/>
        <v>-7.0618842398933679E-2</v>
      </c>
      <c r="G14" s="143">
        <v>14341.349609000001</v>
      </c>
      <c r="H14" s="59">
        <f t="shared" si="1"/>
        <v>-1.8915230857879606E-2</v>
      </c>
      <c r="V14" s="130" t="s">
        <v>419</v>
      </c>
      <c r="W14" s="10" t="s">
        <v>420</v>
      </c>
      <c r="X14" s="130" t="s">
        <v>421</v>
      </c>
    </row>
    <row r="15" spans="2:24" x14ac:dyDescent="0.3">
      <c r="B15" s="141">
        <v>44312</v>
      </c>
      <c r="C15" s="142">
        <v>2852.8999020000001</v>
      </c>
      <c r="D15" s="59">
        <f t="shared" si="0"/>
        <v>5.1295262377369699E-2</v>
      </c>
      <c r="G15" s="143">
        <v>14631.099609000001</v>
      </c>
      <c r="H15" s="59">
        <f t="shared" si="1"/>
        <v>2.0203816788495699E-2</v>
      </c>
      <c r="L15" s="95" t="s">
        <v>186</v>
      </c>
      <c r="M15" s="95"/>
      <c r="V15" s="130" t="s">
        <v>240</v>
      </c>
      <c r="W15" s="10" t="s">
        <v>422</v>
      </c>
      <c r="X15" s="130" t="s">
        <v>423</v>
      </c>
    </row>
    <row r="16" spans="2:24" x14ac:dyDescent="0.3">
      <c r="B16" s="141">
        <v>44319</v>
      </c>
      <c r="C16" s="142">
        <v>2895.5</v>
      </c>
      <c r="D16" s="59">
        <f t="shared" si="0"/>
        <v>1.4932209142751729E-2</v>
      </c>
      <c r="G16" s="143">
        <v>14823.150390999999</v>
      </c>
      <c r="H16" s="59">
        <f t="shared" si="1"/>
        <v>1.3126202891945438E-2</v>
      </c>
      <c r="L16" t="s">
        <v>187</v>
      </c>
      <c r="M16">
        <v>0.51108084476327509</v>
      </c>
      <c r="V16" s="130" t="s">
        <v>424</v>
      </c>
      <c r="W16" s="10" t="s">
        <v>417</v>
      </c>
      <c r="X16" s="130" t="s">
        <v>425</v>
      </c>
    </row>
    <row r="17" spans="2:24" x14ac:dyDescent="0.3">
      <c r="B17" s="141">
        <v>44326</v>
      </c>
      <c r="C17" s="142">
        <v>2844.6499020000001</v>
      </c>
      <c r="D17" s="59">
        <f t="shared" si="0"/>
        <v>-1.7561767570367759E-2</v>
      </c>
      <c r="G17" s="143">
        <v>14677.799805000001</v>
      </c>
      <c r="H17" s="59">
        <f t="shared" si="1"/>
        <v>-9.8056473938393784E-3</v>
      </c>
      <c r="L17" t="s">
        <v>188</v>
      </c>
      <c r="M17">
        <v>0.26120362988394291</v>
      </c>
      <c r="V17" s="130" t="s">
        <v>408</v>
      </c>
      <c r="W17" s="10" t="s">
        <v>426</v>
      </c>
      <c r="X17" s="130" t="s">
        <v>427</v>
      </c>
    </row>
    <row r="18" spans="2:24" x14ac:dyDescent="0.3">
      <c r="B18" s="141">
        <v>44333</v>
      </c>
      <c r="C18" s="142">
        <v>3034.1499020000001</v>
      </c>
      <c r="D18" s="59">
        <f t="shared" si="0"/>
        <v>6.6616281977886826E-2</v>
      </c>
      <c r="G18" s="143">
        <v>15175.299805000001</v>
      </c>
      <c r="H18" s="59">
        <f t="shared" si="1"/>
        <v>3.3894725817865901E-2</v>
      </c>
      <c r="L18" t="s">
        <v>189</v>
      </c>
      <c r="M18" s="144">
        <v>0.2539605282161384</v>
      </c>
    </row>
    <row r="19" spans="2:24" x14ac:dyDescent="0.3">
      <c r="B19" s="141">
        <v>44340</v>
      </c>
      <c r="C19" s="142">
        <v>3022.1000979999999</v>
      </c>
      <c r="D19" s="59">
        <f t="shared" si="0"/>
        <v>-3.971393764051534E-3</v>
      </c>
      <c r="G19" s="143">
        <v>15435.650390999999</v>
      </c>
      <c r="H19" s="59">
        <f t="shared" si="1"/>
        <v>1.7156207082921426E-2</v>
      </c>
      <c r="L19" t="s">
        <v>190</v>
      </c>
      <c r="M19">
        <v>4.2285168880719627E-2</v>
      </c>
    </row>
    <row r="20" spans="2:24" ht="15" thickBot="1" x14ac:dyDescent="0.35">
      <c r="B20" s="141">
        <v>44347</v>
      </c>
      <c r="C20" s="142">
        <v>3197</v>
      </c>
      <c r="D20" s="59">
        <f t="shared" si="0"/>
        <v>5.7873629703975471E-2</v>
      </c>
      <c r="G20" s="143">
        <v>15670.25</v>
      </c>
      <c r="H20" s="59">
        <f t="shared" si="1"/>
        <v>1.5198556786229611E-2</v>
      </c>
      <c r="L20" s="93" t="s">
        <v>191</v>
      </c>
      <c r="M20" s="93">
        <v>104</v>
      </c>
    </row>
    <row r="21" spans="2:24" x14ac:dyDescent="0.3">
      <c r="B21" s="141">
        <v>44354</v>
      </c>
      <c r="C21" s="142">
        <v>3175.5500489999999</v>
      </c>
      <c r="D21" s="59">
        <f t="shared" si="0"/>
        <v>-6.7093997497654767E-3</v>
      </c>
      <c r="G21" s="143">
        <v>15799.349609000001</v>
      </c>
      <c r="H21" s="59">
        <f t="shared" si="1"/>
        <v>8.2385162329892125E-3</v>
      </c>
    </row>
    <row r="22" spans="2:24" ht="15" thickBot="1" x14ac:dyDescent="0.35">
      <c r="B22" s="141">
        <v>44361</v>
      </c>
      <c r="C22" s="142">
        <v>3317.6999510000001</v>
      </c>
      <c r="D22" s="59">
        <f t="shared" si="0"/>
        <v>4.476386761555351E-2</v>
      </c>
      <c r="G22" s="143">
        <v>15683.349609000001</v>
      </c>
      <c r="H22" s="59">
        <f t="shared" si="1"/>
        <v>-7.3420743809555766E-3</v>
      </c>
      <c r="L22" t="s">
        <v>192</v>
      </c>
    </row>
    <row r="23" spans="2:24" x14ac:dyDescent="0.3">
      <c r="B23" s="141">
        <v>44368</v>
      </c>
      <c r="C23" s="142">
        <v>3315.3500979999999</v>
      </c>
      <c r="D23" s="59">
        <f t="shared" si="0"/>
        <v>-7.082777329794343E-4</v>
      </c>
      <c r="G23" s="143">
        <v>15860.349609000001</v>
      </c>
      <c r="H23" s="59">
        <f t="shared" si="1"/>
        <v>1.1285854387791394E-2</v>
      </c>
      <c r="L23" s="94"/>
      <c r="M23" s="94" t="s">
        <v>196</v>
      </c>
      <c r="N23" s="94" t="s">
        <v>197</v>
      </c>
      <c r="O23" s="94" t="s">
        <v>198</v>
      </c>
      <c r="P23" s="94" t="s">
        <v>199</v>
      </c>
      <c r="Q23" s="94" t="s">
        <v>200</v>
      </c>
    </row>
    <row r="24" spans="2:24" x14ac:dyDescent="0.3">
      <c r="B24" s="141">
        <v>44375</v>
      </c>
      <c r="C24" s="142">
        <v>3314.3000489999999</v>
      </c>
      <c r="D24" s="59">
        <f t="shared" si="0"/>
        <v>-3.1672341350419408E-4</v>
      </c>
      <c r="G24" s="143">
        <v>15722.200194999999</v>
      </c>
      <c r="H24" s="59">
        <f t="shared" si="1"/>
        <v>-8.7103637313018512E-3</v>
      </c>
      <c r="L24" t="s">
        <v>193</v>
      </c>
      <c r="M24">
        <v>1</v>
      </c>
      <c r="N24">
        <v>6.4480851751198193E-2</v>
      </c>
      <c r="O24">
        <v>6.4480851751198193E-2</v>
      </c>
      <c r="P24">
        <v>36.062400041268319</v>
      </c>
      <c r="Q24">
        <v>2.9630301858897445E-8</v>
      </c>
    </row>
    <row r="25" spans="2:24" x14ac:dyDescent="0.3">
      <c r="B25" s="141">
        <v>44382</v>
      </c>
      <c r="C25" s="142">
        <v>3377.6000979999999</v>
      </c>
      <c r="D25" s="59">
        <f t="shared" si="0"/>
        <v>1.9099070109569238E-2</v>
      </c>
      <c r="G25" s="143">
        <v>15689.799805000001</v>
      </c>
      <c r="H25" s="59">
        <f t="shared" si="1"/>
        <v>-2.0608050780515086E-3</v>
      </c>
      <c r="L25" t="s">
        <v>194</v>
      </c>
      <c r="M25">
        <v>102</v>
      </c>
      <c r="N25">
        <v>0.18237962174163994</v>
      </c>
      <c r="O25">
        <v>1.7880355072709797E-3</v>
      </c>
    </row>
    <row r="26" spans="2:24" ht="15" thickBot="1" x14ac:dyDescent="0.35">
      <c r="B26" s="141">
        <v>44389</v>
      </c>
      <c r="C26" s="142">
        <v>3349.1999510000001</v>
      </c>
      <c r="D26" s="59">
        <f t="shared" si="0"/>
        <v>-8.4083805589704186E-3</v>
      </c>
      <c r="G26" s="143">
        <v>15923.400390999999</v>
      </c>
      <c r="H26" s="59">
        <f t="shared" si="1"/>
        <v>1.488869130921322E-2</v>
      </c>
      <c r="L26" s="93" t="s">
        <v>35</v>
      </c>
      <c r="M26" s="93">
        <v>103</v>
      </c>
      <c r="N26" s="93">
        <v>0.24686047349283813</v>
      </c>
      <c r="O26" s="93"/>
      <c r="P26" s="93"/>
      <c r="Q26" s="93"/>
    </row>
    <row r="27" spans="2:24" ht="15" thickBot="1" x14ac:dyDescent="0.35">
      <c r="B27" s="141">
        <v>44396</v>
      </c>
      <c r="C27" s="142">
        <v>3413.1999510000001</v>
      </c>
      <c r="D27" s="59">
        <f t="shared" si="0"/>
        <v>1.9109041244578684E-2</v>
      </c>
      <c r="G27" s="143">
        <v>15856.049805000001</v>
      </c>
      <c r="H27" s="59">
        <f t="shared" si="1"/>
        <v>-4.2296610237889665E-3</v>
      </c>
    </row>
    <row r="28" spans="2:24" x14ac:dyDescent="0.3">
      <c r="B28" s="141">
        <v>44403</v>
      </c>
      <c r="C28" s="142">
        <v>3500.8000489999999</v>
      </c>
      <c r="D28" s="59">
        <f t="shared" si="0"/>
        <v>2.5665094122111043E-2</v>
      </c>
      <c r="G28" s="143">
        <v>15763.049805000001</v>
      </c>
      <c r="H28" s="59">
        <f t="shared" si="1"/>
        <v>-5.8652691650018518E-3</v>
      </c>
      <c r="L28" s="94"/>
      <c r="M28" s="94" t="s">
        <v>201</v>
      </c>
      <c r="N28" s="94" t="s">
        <v>190</v>
      </c>
      <c r="O28" s="94" t="s">
        <v>202</v>
      </c>
      <c r="P28" s="94" t="s">
        <v>203</v>
      </c>
      <c r="Q28" s="94" t="s">
        <v>204</v>
      </c>
      <c r="R28" s="94" t="s">
        <v>205</v>
      </c>
      <c r="S28" s="94" t="s">
        <v>206</v>
      </c>
      <c r="T28" s="94" t="s">
        <v>207</v>
      </c>
    </row>
    <row r="29" spans="2:24" x14ac:dyDescent="0.3">
      <c r="B29" s="141">
        <v>44410</v>
      </c>
      <c r="C29" s="142">
        <v>3529.1999510000001</v>
      </c>
      <c r="D29" s="59">
        <f t="shared" si="0"/>
        <v>8.1124033370922888E-3</v>
      </c>
      <c r="G29" s="143">
        <v>16238.200194999999</v>
      </c>
      <c r="H29" s="59">
        <f t="shared" si="1"/>
        <v>3.0143303223547635E-2</v>
      </c>
      <c r="L29" t="s">
        <v>195</v>
      </c>
      <c r="M29">
        <v>1.0669115618811139E-4</v>
      </c>
      <c r="N29">
        <v>4.1708464646725736E-3</v>
      </c>
      <c r="O29">
        <v>2.5580216651894194E-2</v>
      </c>
      <c r="P29">
        <v>0.97964214464629351</v>
      </c>
      <c r="Q29">
        <v>-8.166163030683694E-3</v>
      </c>
      <c r="R29">
        <v>8.3795453430599177E-3</v>
      </c>
      <c r="S29">
        <v>-8.166163030683694E-3</v>
      </c>
      <c r="T29">
        <v>8.3795453430599177E-3</v>
      </c>
    </row>
    <row r="30" spans="2:24" ht="15" thickBot="1" x14ac:dyDescent="0.35">
      <c r="B30" s="141">
        <v>44417</v>
      </c>
      <c r="C30" s="142">
        <v>3594.5500489999999</v>
      </c>
      <c r="D30" s="59">
        <f t="shared" si="0"/>
        <v>1.8516972375419716E-2</v>
      </c>
      <c r="G30" s="143">
        <v>16529.099609000001</v>
      </c>
      <c r="H30" s="59">
        <f t="shared" si="1"/>
        <v>1.79145108760006E-2</v>
      </c>
      <c r="L30" s="93" t="s">
        <v>436</v>
      </c>
      <c r="M30" s="93">
        <v>1.2421196304007405</v>
      </c>
      <c r="N30" s="93">
        <v>0.20684075390789466</v>
      </c>
      <c r="O30" s="93">
        <v>6.0051977520535011</v>
      </c>
      <c r="P30" s="93">
        <v>2.9630301858896244E-8</v>
      </c>
      <c r="Q30" s="93">
        <v>0.83185197574685965</v>
      </c>
      <c r="R30" s="93">
        <v>1.6523872850546213</v>
      </c>
      <c r="S30" s="93">
        <v>0.83185197574685965</v>
      </c>
      <c r="T30" s="93">
        <v>1.6523872850546213</v>
      </c>
    </row>
    <row r="31" spans="2:24" x14ac:dyDescent="0.3">
      <c r="B31" s="141">
        <v>44424</v>
      </c>
      <c r="C31" s="142">
        <v>3643.1000979999999</v>
      </c>
      <c r="D31" s="59">
        <f t="shared" si="0"/>
        <v>1.3506571987641713E-2</v>
      </c>
      <c r="G31" s="143">
        <v>16450.5</v>
      </c>
      <c r="H31" s="59">
        <f t="shared" si="1"/>
        <v>-4.7552262893499897E-3</v>
      </c>
    </row>
    <row r="32" spans="2:24" x14ac:dyDescent="0.3">
      <c r="B32" s="141">
        <v>44431</v>
      </c>
      <c r="C32" s="142">
        <v>3833.0500489999999</v>
      </c>
      <c r="D32" s="59">
        <f t="shared" si="0"/>
        <v>5.2139646424834485E-2</v>
      </c>
      <c r="G32" s="143">
        <v>16705.199218999998</v>
      </c>
      <c r="H32" s="59">
        <f t="shared" si="1"/>
        <v>1.5482764596820742E-2</v>
      </c>
    </row>
    <row r="33" spans="2:15" ht="19.8" x14ac:dyDescent="0.4">
      <c r="B33" s="141">
        <v>44438</v>
      </c>
      <c r="C33" s="142">
        <v>3938.8999020000001</v>
      </c>
      <c r="D33" s="59">
        <f t="shared" si="0"/>
        <v>2.7615045889529899E-2</v>
      </c>
      <c r="G33" s="143">
        <v>17323.599609000001</v>
      </c>
      <c r="H33" s="59">
        <f t="shared" si="1"/>
        <v>3.7018438504860862E-2</v>
      </c>
      <c r="L33" s="362" t="s">
        <v>437</v>
      </c>
      <c r="M33" s="362"/>
      <c r="N33" s="362"/>
      <c r="O33" s="362"/>
    </row>
    <row r="34" spans="2:15" x14ac:dyDescent="0.3">
      <c r="B34" s="141">
        <v>44445</v>
      </c>
      <c r="C34" s="142">
        <v>3950.5</v>
      </c>
      <c r="D34" s="59">
        <f t="shared" si="0"/>
        <v>2.9450095936964793E-3</v>
      </c>
      <c r="G34" s="143">
        <v>17369.25</v>
      </c>
      <c r="H34" s="59">
        <f t="shared" si="1"/>
        <v>2.6351562048503308E-3</v>
      </c>
    </row>
    <row r="35" spans="2:15" x14ac:dyDescent="0.3">
      <c r="B35" s="141">
        <v>44452</v>
      </c>
      <c r="C35" s="142">
        <v>4239.6499020000001</v>
      </c>
      <c r="D35" s="59">
        <f t="shared" si="0"/>
        <v>7.3193241868118042E-2</v>
      </c>
      <c r="G35" s="143">
        <v>17585.150390999999</v>
      </c>
      <c r="H35" s="59">
        <f t="shared" si="1"/>
        <v>1.2430035321041366E-2</v>
      </c>
    </row>
    <row r="36" spans="2:15" x14ac:dyDescent="0.3">
      <c r="B36" s="141">
        <v>44459</v>
      </c>
      <c r="C36" s="142">
        <v>4422.3500979999999</v>
      </c>
      <c r="D36" s="59">
        <f t="shared" si="0"/>
        <v>4.3093227087881214E-2</v>
      </c>
      <c r="G36" s="143">
        <v>17853.199218999998</v>
      </c>
      <c r="H36" s="59">
        <f t="shared" si="1"/>
        <v>1.5242907910368864E-2</v>
      </c>
      <c r="L36" t="s">
        <v>243</v>
      </c>
      <c r="M36">
        <f>1.24</f>
        <v>1.24</v>
      </c>
    </row>
    <row r="37" spans="2:15" x14ac:dyDescent="0.3">
      <c r="B37" s="141">
        <v>44466</v>
      </c>
      <c r="C37" s="142">
        <v>4235.6000979999999</v>
      </c>
      <c r="D37" s="59">
        <f t="shared" si="0"/>
        <v>-4.2228678386285412E-2</v>
      </c>
      <c r="G37" s="143">
        <v>17532.050781000002</v>
      </c>
      <c r="H37" s="59">
        <f t="shared" si="1"/>
        <v>-1.7988285128091697E-2</v>
      </c>
      <c r="L37" t="s">
        <v>438</v>
      </c>
      <c r="M37" s="59">
        <v>0.75</v>
      </c>
    </row>
    <row r="38" spans="2:15" x14ac:dyDescent="0.3">
      <c r="B38" s="141">
        <v>44473</v>
      </c>
      <c r="C38" s="142">
        <v>4407.9501950000003</v>
      </c>
      <c r="D38" s="59">
        <f t="shared" si="0"/>
        <v>4.0690833178840924E-2</v>
      </c>
      <c r="G38" s="143">
        <v>17895.199218999998</v>
      </c>
      <c r="H38" s="59">
        <f t="shared" si="1"/>
        <v>2.0713403271313213E-2</v>
      </c>
      <c r="L38" t="s">
        <v>439</v>
      </c>
      <c r="M38">
        <v>1</v>
      </c>
    </row>
    <row r="39" spans="2:15" x14ac:dyDescent="0.3">
      <c r="B39" s="141">
        <v>44480</v>
      </c>
      <c r="C39" s="142">
        <v>5323.75</v>
      </c>
      <c r="D39" s="59">
        <f t="shared" si="0"/>
        <v>0.2077609238958289</v>
      </c>
      <c r="G39" s="143">
        <v>18338.550781000002</v>
      </c>
      <c r="H39" s="59">
        <f t="shared" si="1"/>
        <v>2.4774888313580767E-2</v>
      </c>
      <c r="L39" t="s">
        <v>441</v>
      </c>
      <c r="M39" s="59">
        <v>0.25</v>
      </c>
    </row>
    <row r="40" spans="2:15" x14ac:dyDescent="0.3">
      <c r="B40" s="141">
        <v>44487</v>
      </c>
      <c r="C40" s="142">
        <v>4521.4501950000003</v>
      </c>
      <c r="D40" s="59">
        <f t="shared" si="0"/>
        <v>-0.1507020061047194</v>
      </c>
      <c r="G40" s="143">
        <v>18114.900390999999</v>
      </c>
      <c r="H40" s="59">
        <f t="shared" si="1"/>
        <v>-1.2195641447944716E-2</v>
      </c>
    </row>
    <row r="41" spans="2:15" x14ac:dyDescent="0.3">
      <c r="B41" s="141">
        <v>44494</v>
      </c>
      <c r="C41" s="142">
        <v>4635.4501950000003</v>
      </c>
      <c r="D41" s="59">
        <f t="shared" si="0"/>
        <v>2.5213149561188475E-2</v>
      </c>
      <c r="G41" s="143">
        <v>17671.650390999999</v>
      </c>
      <c r="H41" s="59">
        <f t="shared" si="1"/>
        <v>-2.4468806917658736E-2</v>
      </c>
      <c r="L41" s="145" t="s">
        <v>440</v>
      </c>
      <c r="M41" s="145">
        <f>((M36*M37)+(M38*M39))</f>
        <v>1.18</v>
      </c>
    </row>
    <row r="42" spans="2:15" x14ac:dyDescent="0.3">
      <c r="B42" s="141">
        <v>44501</v>
      </c>
      <c r="C42" s="142">
        <v>4783.7001950000003</v>
      </c>
      <c r="D42" s="59">
        <f t="shared" si="0"/>
        <v>3.1981791145099248E-2</v>
      </c>
      <c r="G42" s="143">
        <v>17916.800781000002</v>
      </c>
      <c r="H42" s="59">
        <f t="shared" si="1"/>
        <v>1.3872523764099309E-2</v>
      </c>
    </row>
    <row r="43" spans="2:15" x14ac:dyDescent="0.3">
      <c r="B43" s="141">
        <v>44508</v>
      </c>
      <c r="C43" s="142">
        <v>5078.5498049999997</v>
      </c>
      <c r="D43" s="59">
        <f t="shared" si="0"/>
        <v>6.1636306202504265E-2</v>
      </c>
      <c r="G43" s="143">
        <v>18102.75</v>
      </c>
      <c r="H43" s="59">
        <f t="shared" si="1"/>
        <v>1.0378483372834646E-2</v>
      </c>
    </row>
    <row r="44" spans="2:15" x14ac:dyDescent="0.3">
      <c r="B44" s="141">
        <v>44515</v>
      </c>
      <c r="C44" s="142">
        <v>5080.8999020000001</v>
      </c>
      <c r="D44" s="59">
        <f t="shared" si="0"/>
        <v>4.6274962149372989E-4</v>
      </c>
      <c r="G44" s="143">
        <v>17764.800781000002</v>
      </c>
      <c r="H44" s="59">
        <f t="shared" si="1"/>
        <v>-1.8668391211279944E-2</v>
      </c>
    </row>
    <row r="45" spans="2:15" x14ac:dyDescent="0.3">
      <c r="B45" s="141">
        <v>44522</v>
      </c>
      <c r="C45" s="142">
        <v>4718.75</v>
      </c>
      <c r="D45" s="59">
        <f t="shared" si="0"/>
        <v>-7.1276724396291846E-2</v>
      </c>
      <c r="G45" s="143">
        <v>17026.449218999998</v>
      </c>
      <c r="H45" s="59">
        <f t="shared" si="1"/>
        <v>-4.1562614245001406E-2</v>
      </c>
    </row>
    <row r="46" spans="2:15" x14ac:dyDescent="0.3">
      <c r="B46" s="141">
        <v>44529</v>
      </c>
      <c r="C46" s="142">
        <v>4799.0498049999997</v>
      </c>
      <c r="D46" s="59">
        <f t="shared" si="0"/>
        <v>1.7017177218543011E-2</v>
      </c>
      <c r="G46" s="143">
        <v>17196.699218999998</v>
      </c>
      <c r="H46" s="59">
        <f t="shared" si="1"/>
        <v>9.9991488424970854E-3</v>
      </c>
    </row>
    <row r="47" spans="2:15" x14ac:dyDescent="0.3">
      <c r="B47" s="141">
        <v>44536</v>
      </c>
      <c r="C47" s="142">
        <v>4796.6000979999999</v>
      </c>
      <c r="D47" s="59">
        <f t="shared" si="0"/>
        <v>-5.1045667362059621E-4</v>
      </c>
      <c r="G47" s="143">
        <v>17511.300781000002</v>
      </c>
      <c r="H47" s="59">
        <f t="shared" si="1"/>
        <v>1.8294299271828462E-2</v>
      </c>
    </row>
    <row r="48" spans="2:15" x14ac:dyDescent="0.3">
      <c r="B48" s="141">
        <v>44543</v>
      </c>
      <c r="C48" s="142">
        <v>4697.7998049999997</v>
      </c>
      <c r="D48" s="59">
        <f t="shared" si="0"/>
        <v>-2.059798419326142E-2</v>
      </c>
      <c r="G48" s="143">
        <v>16985.199218999998</v>
      </c>
      <c r="H48" s="59">
        <f t="shared" si="1"/>
        <v>-3.0043545512668635E-2</v>
      </c>
    </row>
    <row r="49" spans="2:8" x14ac:dyDescent="0.3">
      <c r="B49" s="141">
        <v>44550</v>
      </c>
      <c r="C49" s="142">
        <v>4628.8999020000001</v>
      </c>
      <c r="D49" s="59">
        <f t="shared" si="0"/>
        <v>-1.4666419570852574E-2</v>
      </c>
      <c r="G49" s="143">
        <v>17003.75</v>
      </c>
      <c r="H49" s="59">
        <f t="shared" si="1"/>
        <v>1.0921732951623131E-3</v>
      </c>
    </row>
    <row r="50" spans="2:8" x14ac:dyDescent="0.3">
      <c r="B50" s="141">
        <v>44557</v>
      </c>
      <c r="C50" s="142">
        <v>4671.4501950000003</v>
      </c>
      <c r="D50" s="59">
        <f t="shared" si="0"/>
        <v>9.1923121909842642E-3</v>
      </c>
      <c r="G50" s="143">
        <v>17354.050781000002</v>
      </c>
      <c r="H50" s="59">
        <f t="shared" si="1"/>
        <v>2.0601383871204915E-2</v>
      </c>
    </row>
    <row r="51" spans="2:8" x14ac:dyDescent="0.3">
      <c r="B51" s="141">
        <v>44564</v>
      </c>
      <c r="C51" s="142">
        <v>4731.3500979999999</v>
      </c>
      <c r="D51" s="59">
        <f t="shared" si="0"/>
        <v>1.2822549850603604E-2</v>
      </c>
      <c r="G51" s="143">
        <v>17812.699218999998</v>
      </c>
      <c r="H51" s="59">
        <f t="shared" si="1"/>
        <v>2.6428898001275014E-2</v>
      </c>
    </row>
    <row r="52" spans="2:8" x14ac:dyDescent="0.3">
      <c r="B52" s="141">
        <v>44571</v>
      </c>
      <c r="C52" s="142">
        <v>4322.7001950000003</v>
      </c>
      <c r="D52" s="59">
        <f t="shared" si="0"/>
        <v>-8.6370675290492804E-2</v>
      </c>
      <c r="G52" s="143">
        <v>18255.75</v>
      </c>
      <c r="H52" s="59">
        <f t="shared" si="1"/>
        <v>2.4872748119354027E-2</v>
      </c>
    </row>
    <row r="53" spans="2:8" x14ac:dyDescent="0.3">
      <c r="B53" s="141">
        <v>44578</v>
      </c>
      <c r="C53" s="142">
        <v>4299.7998049999997</v>
      </c>
      <c r="D53" s="59">
        <f t="shared" si="0"/>
        <v>-5.2977048990094922E-3</v>
      </c>
      <c r="G53" s="143">
        <v>17617.150390999999</v>
      </c>
      <c r="H53" s="59">
        <f t="shared" si="1"/>
        <v>-3.4980738068827621E-2</v>
      </c>
    </row>
    <row r="54" spans="2:8" x14ac:dyDescent="0.3">
      <c r="B54" s="141">
        <v>44585</v>
      </c>
      <c r="C54" s="142">
        <v>4076</v>
      </c>
      <c r="D54" s="59">
        <f t="shared" si="0"/>
        <v>-5.2048889518008568E-2</v>
      </c>
      <c r="G54" s="143">
        <v>17101.949218999998</v>
      </c>
      <c r="H54" s="59">
        <f t="shared" si="1"/>
        <v>-2.9244296640800638E-2</v>
      </c>
    </row>
    <row r="55" spans="2:8" x14ac:dyDescent="0.3">
      <c r="B55" s="141">
        <v>44592</v>
      </c>
      <c r="C55" s="142">
        <v>4081.8999020000001</v>
      </c>
      <c r="D55" s="59">
        <f t="shared" si="0"/>
        <v>1.4474735034346597E-3</v>
      </c>
      <c r="G55" s="143">
        <v>17516.300781000002</v>
      </c>
      <c r="H55" s="59">
        <f t="shared" si="1"/>
        <v>2.4228323724623468E-2</v>
      </c>
    </row>
    <row r="56" spans="2:8" x14ac:dyDescent="0.3">
      <c r="B56" s="141">
        <v>44599</v>
      </c>
      <c r="C56" s="142">
        <v>4142.25</v>
      </c>
      <c r="D56" s="59">
        <f t="shared" si="0"/>
        <v>1.4784805960192715E-2</v>
      </c>
      <c r="G56" s="143">
        <v>17374.75</v>
      </c>
      <c r="H56" s="59">
        <f t="shared" si="1"/>
        <v>-8.0810887395552644E-3</v>
      </c>
    </row>
    <row r="57" spans="2:8" x14ac:dyDescent="0.3">
      <c r="B57" s="141">
        <v>44606</v>
      </c>
      <c r="C57" s="142">
        <v>4073.1000979999999</v>
      </c>
      <c r="D57" s="59">
        <f t="shared" si="0"/>
        <v>-1.6693802160661519E-2</v>
      </c>
      <c r="G57" s="143">
        <v>17276.300781000002</v>
      </c>
      <c r="H57" s="59">
        <f t="shared" si="1"/>
        <v>-5.66622362911684E-3</v>
      </c>
    </row>
    <row r="58" spans="2:8" x14ac:dyDescent="0.3">
      <c r="B58" s="141">
        <v>44613</v>
      </c>
      <c r="C58" s="142">
        <v>4190.75</v>
      </c>
      <c r="D58" s="59">
        <f t="shared" si="0"/>
        <v>2.8884608570697523E-2</v>
      </c>
      <c r="G58" s="143">
        <v>16658.400390999999</v>
      </c>
      <c r="H58" s="59">
        <f t="shared" si="1"/>
        <v>-3.5765780987070617E-2</v>
      </c>
    </row>
    <row r="59" spans="2:8" x14ac:dyDescent="0.3">
      <c r="B59" s="141">
        <v>44620</v>
      </c>
      <c r="C59" s="142">
        <v>4110.2001950000003</v>
      </c>
      <c r="D59" s="59">
        <f t="shared" si="0"/>
        <v>-1.9220856648571205E-2</v>
      </c>
      <c r="G59" s="143">
        <v>16245.349609000001</v>
      </c>
      <c r="H59" s="59">
        <f t="shared" si="1"/>
        <v>-2.479534482933643E-2</v>
      </c>
    </row>
    <row r="60" spans="2:8" x14ac:dyDescent="0.3">
      <c r="B60" s="141">
        <v>44627</v>
      </c>
      <c r="C60" s="142">
        <v>4198.9501950000003</v>
      </c>
      <c r="D60" s="59">
        <f t="shared" si="0"/>
        <v>2.1592622205595546E-2</v>
      </c>
      <c r="G60" s="143">
        <v>16630.449218999998</v>
      </c>
      <c r="H60" s="59">
        <f t="shared" si="1"/>
        <v>2.3705221449137115E-2</v>
      </c>
    </row>
    <row r="61" spans="2:8" x14ac:dyDescent="0.3">
      <c r="B61" s="141">
        <v>44634</v>
      </c>
      <c r="C61" s="142">
        <v>4192.75</v>
      </c>
      <c r="D61" s="59">
        <f t="shared" si="0"/>
        <v>-1.476605987702162E-3</v>
      </c>
      <c r="G61" s="143">
        <v>17287.050781000002</v>
      </c>
      <c r="H61" s="59">
        <f t="shared" si="1"/>
        <v>3.9481889716475482E-2</v>
      </c>
    </row>
    <row r="62" spans="2:8" x14ac:dyDescent="0.3">
      <c r="B62" s="141">
        <v>44641</v>
      </c>
      <c r="C62" s="142">
        <v>4001.3000489999999</v>
      </c>
      <c r="D62" s="59">
        <f t="shared" si="0"/>
        <v>-4.5662143223421436E-2</v>
      </c>
      <c r="G62" s="143">
        <v>17153</v>
      </c>
      <c r="H62" s="59">
        <f t="shared" si="1"/>
        <v>-7.7544043051771538E-3</v>
      </c>
    </row>
    <row r="63" spans="2:8" x14ac:dyDescent="0.3">
      <c r="B63" s="141">
        <v>44648</v>
      </c>
      <c r="C63" s="142">
        <v>4082.1999510000001</v>
      </c>
      <c r="D63" s="59">
        <f t="shared" si="0"/>
        <v>2.0218404270936574E-2</v>
      </c>
      <c r="G63" s="143">
        <v>17670.449218999998</v>
      </c>
      <c r="H63" s="59">
        <f t="shared" si="1"/>
        <v>3.0166689150585846E-2</v>
      </c>
    </row>
    <row r="64" spans="2:8" x14ac:dyDescent="0.3">
      <c r="B64" s="141">
        <v>44655</v>
      </c>
      <c r="C64" s="142">
        <v>4146.25</v>
      </c>
      <c r="D64" s="59">
        <f t="shared" si="0"/>
        <v>1.5690081272062617E-2</v>
      </c>
      <c r="G64" s="143">
        <v>17784.349609000001</v>
      </c>
      <c r="H64" s="59">
        <f t="shared" si="1"/>
        <v>6.4458117950692007E-3</v>
      </c>
    </row>
    <row r="65" spans="2:8" x14ac:dyDescent="0.3">
      <c r="B65" s="141">
        <v>44662</v>
      </c>
      <c r="C65" s="142">
        <v>4090.8999020000001</v>
      </c>
      <c r="D65" s="59">
        <f t="shared" si="0"/>
        <v>-1.3349435755200423E-2</v>
      </c>
      <c r="G65" s="143">
        <v>17475.650390999999</v>
      </c>
      <c r="H65" s="59">
        <f t="shared" si="1"/>
        <v>-1.7357914390289553E-2</v>
      </c>
    </row>
    <row r="66" spans="2:8" x14ac:dyDescent="0.3">
      <c r="B66" s="141">
        <v>44669</v>
      </c>
      <c r="C66" s="142">
        <v>4028.8500979999999</v>
      </c>
      <c r="D66" s="59">
        <f t="shared" si="0"/>
        <v>-1.5167763936161038E-2</v>
      </c>
      <c r="G66" s="143">
        <v>17171.949218999998</v>
      </c>
      <c r="H66" s="59">
        <f t="shared" si="1"/>
        <v>-1.7378533285170805E-2</v>
      </c>
    </row>
    <row r="67" spans="2:8" x14ac:dyDescent="0.3">
      <c r="B67" s="141">
        <v>44676</v>
      </c>
      <c r="C67" s="142">
        <v>3944.25</v>
      </c>
      <c r="D67" s="59">
        <f t="shared" si="0"/>
        <v>-2.0998571786524645E-2</v>
      </c>
      <c r="G67" s="143">
        <v>17102.550781000002</v>
      </c>
      <c r="H67" s="59">
        <f t="shared" si="1"/>
        <v>-4.041383835634127E-3</v>
      </c>
    </row>
    <row r="68" spans="2:8" x14ac:dyDescent="0.3">
      <c r="B68" s="141">
        <v>44683</v>
      </c>
      <c r="C68" s="142">
        <v>3666.1999510000001</v>
      </c>
      <c r="D68" s="59">
        <f t="shared" si="0"/>
        <v>-7.0495036825758972E-2</v>
      </c>
      <c r="G68" s="143">
        <v>16411.25</v>
      </c>
      <c r="H68" s="59">
        <f t="shared" si="1"/>
        <v>-4.0420916730619982E-2</v>
      </c>
    </row>
    <row r="69" spans="2:8" x14ac:dyDescent="0.3">
      <c r="B69" s="141">
        <v>44690</v>
      </c>
      <c r="C69" s="142">
        <v>3230.6000979999999</v>
      </c>
      <c r="D69" s="59">
        <f t="shared" si="0"/>
        <v>-0.11881508341660008</v>
      </c>
      <c r="G69" s="143">
        <v>15782.150390999999</v>
      </c>
      <c r="H69" s="59">
        <f t="shared" si="1"/>
        <v>-3.8333436453652281E-2</v>
      </c>
    </row>
    <row r="70" spans="2:8" x14ac:dyDescent="0.3">
      <c r="B70" s="141">
        <v>44697</v>
      </c>
      <c r="C70" s="142">
        <v>3630.3999020000001</v>
      </c>
      <c r="D70" s="59">
        <f t="shared" si="0"/>
        <v>0.12375403698139809</v>
      </c>
      <c r="G70" s="143">
        <v>16266.150390999999</v>
      </c>
      <c r="H70" s="59">
        <f t="shared" si="1"/>
        <v>3.0667557209187901E-2</v>
      </c>
    </row>
    <row r="71" spans="2:8" x14ac:dyDescent="0.3">
      <c r="B71" s="141">
        <v>44704</v>
      </c>
      <c r="C71" s="142">
        <v>3613.8500979999999</v>
      </c>
      <c r="D71" s="59">
        <f t="shared" si="0"/>
        <v>-4.5586724456672112E-3</v>
      </c>
      <c r="G71" s="143">
        <v>16352.450194999999</v>
      </c>
      <c r="H71" s="59">
        <f t="shared" si="1"/>
        <v>5.3054842064996777E-3</v>
      </c>
    </row>
    <row r="72" spans="2:8" x14ac:dyDescent="0.3">
      <c r="B72" s="141">
        <v>44711</v>
      </c>
      <c r="C72" s="142">
        <v>3820.1000979999999</v>
      </c>
      <c r="D72" s="59">
        <f t="shared" ref="D72:D110" si="2">C72/C71-1</f>
        <v>5.7072096076742129E-2</v>
      </c>
      <c r="G72" s="143">
        <v>16584.300781000002</v>
      </c>
      <c r="H72" s="59">
        <f t="shared" ref="H72:H110" si="3">G72/G71-1</f>
        <v>1.4178339223494207E-2</v>
      </c>
    </row>
    <row r="73" spans="2:8" x14ac:dyDescent="0.3">
      <c r="B73" s="141">
        <v>44718</v>
      </c>
      <c r="C73" s="142">
        <v>3755.6499020000001</v>
      </c>
      <c r="D73" s="59">
        <f t="shared" si="2"/>
        <v>-1.6871336966730932E-2</v>
      </c>
      <c r="G73" s="143">
        <v>16201.799805000001</v>
      </c>
      <c r="H73" s="59">
        <f t="shared" si="3"/>
        <v>-2.3064039964724836E-2</v>
      </c>
    </row>
    <row r="74" spans="2:8" x14ac:dyDescent="0.3">
      <c r="B74" s="141">
        <v>44725</v>
      </c>
      <c r="C74" s="142">
        <v>3460.5500489999999</v>
      </c>
      <c r="D74" s="59">
        <f t="shared" si="2"/>
        <v>-7.857490998904082E-2</v>
      </c>
      <c r="G74" s="143">
        <v>15293.5</v>
      </c>
      <c r="H74" s="59">
        <f t="shared" si="3"/>
        <v>-5.606166079892505E-2</v>
      </c>
    </row>
    <row r="75" spans="2:8" x14ac:dyDescent="0.3">
      <c r="B75" s="141">
        <v>44732</v>
      </c>
      <c r="C75" s="142">
        <v>3412</v>
      </c>
      <c r="D75" s="59">
        <f t="shared" si="2"/>
        <v>-1.4029575735808097E-2</v>
      </c>
      <c r="G75" s="143">
        <v>15699.25</v>
      </c>
      <c r="H75" s="59">
        <f t="shared" si="3"/>
        <v>2.6530879131657192E-2</v>
      </c>
    </row>
    <row r="76" spans="2:8" x14ac:dyDescent="0.3">
      <c r="B76" s="141">
        <v>44739</v>
      </c>
      <c r="C76" s="142">
        <v>3388.75</v>
      </c>
      <c r="D76" s="59">
        <f t="shared" si="2"/>
        <v>-6.8141852286048854E-3</v>
      </c>
      <c r="G76" s="143">
        <v>15752.049805000001</v>
      </c>
      <c r="H76" s="59">
        <f t="shared" si="3"/>
        <v>3.3632055671448668E-3</v>
      </c>
    </row>
    <row r="77" spans="2:8" x14ac:dyDescent="0.3">
      <c r="B77" s="141">
        <v>44746</v>
      </c>
      <c r="C77" s="142">
        <v>3941.6999510000001</v>
      </c>
      <c r="D77" s="59">
        <f t="shared" si="2"/>
        <v>0.16317224669863517</v>
      </c>
      <c r="G77" s="143">
        <v>16220.599609000001</v>
      </c>
      <c r="H77" s="59">
        <f t="shared" si="3"/>
        <v>2.9745322659611828E-2</v>
      </c>
    </row>
    <row r="78" spans="2:8" x14ac:dyDescent="0.3">
      <c r="B78" s="141">
        <v>44753</v>
      </c>
      <c r="C78" s="142">
        <v>3926.8000489999999</v>
      </c>
      <c r="D78" s="59">
        <f t="shared" si="2"/>
        <v>-3.7800700675403309E-3</v>
      </c>
      <c r="G78" s="143">
        <v>16049.200194999999</v>
      </c>
      <c r="H78" s="59">
        <f t="shared" si="3"/>
        <v>-1.0566774233481513E-2</v>
      </c>
    </row>
    <row r="79" spans="2:8" x14ac:dyDescent="0.3">
      <c r="B79" s="141">
        <v>44760</v>
      </c>
      <c r="C79" s="142">
        <v>3963.3999020000001</v>
      </c>
      <c r="D79" s="59">
        <f t="shared" si="2"/>
        <v>9.3205288131033015E-3</v>
      </c>
      <c r="G79" s="143">
        <v>16719.449218999998</v>
      </c>
      <c r="H79" s="59">
        <f t="shared" si="3"/>
        <v>4.1762144895470144E-2</v>
      </c>
    </row>
    <row r="80" spans="2:8" x14ac:dyDescent="0.3">
      <c r="B80" s="141">
        <v>44767</v>
      </c>
      <c r="C80" s="142">
        <v>4243.8500979999999</v>
      </c>
      <c r="D80" s="59">
        <f t="shared" si="2"/>
        <v>7.0760004777332686E-2</v>
      </c>
      <c r="G80" s="143">
        <v>17158.25</v>
      </c>
      <c r="H80" s="59">
        <f t="shared" si="3"/>
        <v>2.6244930395275645E-2</v>
      </c>
    </row>
    <row r="81" spans="2:8" x14ac:dyDescent="0.3">
      <c r="B81" s="141">
        <v>44774</v>
      </c>
      <c r="C81" s="142">
        <v>4232.25</v>
      </c>
      <c r="D81" s="59">
        <f t="shared" si="2"/>
        <v>-2.7333901368162827E-3</v>
      </c>
      <c r="G81" s="143">
        <v>17397.5</v>
      </c>
      <c r="H81" s="59">
        <f t="shared" si="3"/>
        <v>1.3943729692713402E-2</v>
      </c>
    </row>
    <row r="82" spans="2:8" x14ac:dyDescent="0.3">
      <c r="B82" s="141">
        <v>44781</v>
      </c>
      <c r="C82" s="142">
        <v>4336.7001950000003</v>
      </c>
      <c r="D82" s="59">
        <f t="shared" si="2"/>
        <v>2.4679590052572697E-2</v>
      </c>
      <c r="G82" s="143">
        <v>17698.150390999999</v>
      </c>
      <c r="H82" s="59">
        <f t="shared" si="3"/>
        <v>1.7281241040379314E-2</v>
      </c>
    </row>
    <row r="83" spans="2:8" x14ac:dyDescent="0.3">
      <c r="B83" s="141">
        <v>44788</v>
      </c>
      <c r="C83" s="142">
        <v>4382</v>
      </c>
      <c r="D83" s="59">
        <f t="shared" si="2"/>
        <v>1.0445685189911957E-2</v>
      </c>
      <c r="G83" s="143">
        <v>17758.449218999998</v>
      </c>
      <c r="H83" s="59">
        <f t="shared" si="3"/>
        <v>3.4070694771959342E-3</v>
      </c>
    </row>
    <row r="84" spans="2:8" x14ac:dyDescent="0.3">
      <c r="B84" s="141">
        <v>44795</v>
      </c>
      <c r="C84" s="142">
        <v>4409.6499020000001</v>
      </c>
      <c r="D84" s="59">
        <f t="shared" si="2"/>
        <v>6.3098817891373837E-3</v>
      </c>
      <c r="G84" s="143">
        <v>17558.900390999999</v>
      </c>
      <c r="H84" s="59">
        <f t="shared" si="3"/>
        <v>-1.1236838619134604E-2</v>
      </c>
    </row>
    <row r="85" spans="2:8" x14ac:dyDescent="0.3">
      <c r="B85" s="141">
        <v>44802</v>
      </c>
      <c r="C85" s="142">
        <v>4576.7998049999997</v>
      </c>
      <c r="D85" s="59">
        <f t="shared" si="2"/>
        <v>3.7905481549496356E-2</v>
      </c>
      <c r="G85" s="143">
        <v>17539.449218999998</v>
      </c>
      <c r="H85" s="59">
        <f t="shared" si="3"/>
        <v>-1.1077670905844661E-3</v>
      </c>
    </row>
    <row r="86" spans="2:8" x14ac:dyDescent="0.3">
      <c r="B86" s="141">
        <v>44809</v>
      </c>
      <c r="C86" s="142">
        <v>4386.1000979999999</v>
      </c>
      <c r="D86" s="59">
        <f t="shared" si="2"/>
        <v>-4.1666604423393538E-2</v>
      </c>
      <c r="G86" s="143">
        <v>17833.349609000001</v>
      </c>
      <c r="H86" s="59">
        <f t="shared" si="3"/>
        <v>1.6756534730955508E-2</v>
      </c>
    </row>
    <row r="87" spans="2:8" x14ac:dyDescent="0.3">
      <c r="B87" s="141">
        <v>44816</v>
      </c>
      <c r="C87" s="142">
        <v>4327.5498049999997</v>
      </c>
      <c r="D87" s="59">
        <f t="shared" si="2"/>
        <v>-1.334905535482378E-2</v>
      </c>
      <c r="G87" s="143">
        <v>17530.849609000001</v>
      </c>
      <c r="H87" s="59">
        <f t="shared" si="3"/>
        <v>-1.6962601341440453E-2</v>
      </c>
    </row>
    <row r="88" spans="2:8" x14ac:dyDescent="0.3">
      <c r="B88" s="141">
        <v>44823</v>
      </c>
      <c r="C88" s="142">
        <v>4367</v>
      </c>
      <c r="D88" s="59">
        <f t="shared" si="2"/>
        <v>9.1160579953164511E-3</v>
      </c>
      <c r="G88" s="143">
        <v>17327.349609000001</v>
      </c>
      <c r="H88" s="59">
        <f t="shared" si="3"/>
        <v>-1.1608108251383698E-2</v>
      </c>
    </row>
    <row r="89" spans="2:8" x14ac:dyDescent="0.3">
      <c r="B89" s="141">
        <v>44830</v>
      </c>
      <c r="C89" s="142">
        <v>4386.5498049999997</v>
      </c>
      <c r="D89" s="59">
        <f t="shared" si="2"/>
        <v>4.4767128463474304E-3</v>
      </c>
      <c r="G89" s="143">
        <v>17094.349609000001</v>
      </c>
      <c r="H89" s="59">
        <f t="shared" si="3"/>
        <v>-1.3446949779265527E-2</v>
      </c>
    </row>
    <row r="90" spans="2:8" x14ac:dyDescent="0.3">
      <c r="B90" s="141">
        <v>44837</v>
      </c>
      <c r="C90" s="142">
        <v>4471.4501950000003</v>
      </c>
      <c r="D90" s="59">
        <f t="shared" si="2"/>
        <v>1.9354707862481613E-2</v>
      </c>
      <c r="G90" s="143">
        <v>17314.650390999999</v>
      </c>
      <c r="H90" s="59">
        <f t="shared" si="3"/>
        <v>1.2887345060733635E-2</v>
      </c>
    </row>
    <row r="91" spans="2:8" x14ac:dyDescent="0.3">
      <c r="B91" s="141">
        <v>44844</v>
      </c>
      <c r="C91" s="142">
        <v>4306.1499020000001</v>
      </c>
      <c r="D91" s="59">
        <f t="shared" si="2"/>
        <v>-3.6967937870545864E-2</v>
      </c>
      <c r="G91" s="143">
        <v>17185.699218999998</v>
      </c>
      <c r="H91" s="59">
        <f t="shared" si="3"/>
        <v>-7.4475180894804094E-3</v>
      </c>
    </row>
    <row r="92" spans="2:8" x14ac:dyDescent="0.3">
      <c r="B92" s="141">
        <v>44851</v>
      </c>
      <c r="C92" s="142">
        <v>4215.5498049999997</v>
      </c>
      <c r="D92" s="59">
        <f t="shared" si="2"/>
        <v>-2.1039698817247654E-2</v>
      </c>
      <c r="G92" s="143">
        <v>17576.300781000002</v>
      </c>
      <c r="H92" s="59">
        <f t="shared" si="3"/>
        <v>2.2728290366455628E-2</v>
      </c>
    </row>
    <row r="93" spans="2:8" x14ac:dyDescent="0.3">
      <c r="B93" s="141">
        <v>44858</v>
      </c>
      <c r="C93" s="142">
        <v>4307.3500979999999</v>
      </c>
      <c r="D93" s="59">
        <f t="shared" si="2"/>
        <v>2.1776588403988884E-2</v>
      </c>
      <c r="G93" s="143">
        <v>17786.800781000002</v>
      </c>
      <c r="H93" s="59">
        <f t="shared" si="3"/>
        <v>1.197635399068453E-2</v>
      </c>
    </row>
    <row r="94" spans="2:8" x14ac:dyDescent="0.3">
      <c r="B94" s="141">
        <v>44865</v>
      </c>
      <c r="C94" s="142">
        <v>4167.3500979999999</v>
      </c>
      <c r="D94" s="59">
        <f t="shared" si="2"/>
        <v>-3.2502582055033091E-2</v>
      </c>
      <c r="G94" s="143">
        <v>18117.150390999999</v>
      </c>
      <c r="H94" s="59">
        <f t="shared" si="3"/>
        <v>1.8572739081492262E-2</v>
      </c>
    </row>
    <row r="95" spans="2:8" x14ac:dyDescent="0.3">
      <c r="B95" s="141">
        <v>44872</v>
      </c>
      <c r="C95" s="142">
        <v>4128.3500979999999</v>
      </c>
      <c r="D95" s="59">
        <f t="shared" si="2"/>
        <v>-9.3584649916302887E-3</v>
      </c>
      <c r="G95" s="143">
        <v>18349.699218999998</v>
      </c>
      <c r="H95" s="59">
        <f t="shared" si="3"/>
        <v>1.2835839134808014E-2</v>
      </c>
    </row>
    <row r="96" spans="2:8" x14ac:dyDescent="0.3">
      <c r="B96" s="141">
        <v>44879</v>
      </c>
      <c r="C96" s="142">
        <v>3910.6000979999999</v>
      </c>
      <c r="D96" s="59">
        <f t="shared" si="2"/>
        <v>-5.2745042167206213E-2</v>
      </c>
      <c r="G96" s="143">
        <v>18307.650390999999</v>
      </c>
      <c r="H96" s="59">
        <f t="shared" si="3"/>
        <v>-2.2915268254892762E-3</v>
      </c>
    </row>
    <row r="97" spans="2:8" x14ac:dyDescent="0.3">
      <c r="B97" s="141">
        <v>44886</v>
      </c>
      <c r="C97" s="142">
        <v>3904.4499510000001</v>
      </c>
      <c r="D97" s="59">
        <f t="shared" si="2"/>
        <v>-1.5726862491373117E-3</v>
      </c>
      <c r="G97" s="143">
        <v>18512.75</v>
      </c>
      <c r="H97" s="59">
        <f t="shared" si="3"/>
        <v>1.1202945469224623E-2</v>
      </c>
    </row>
    <row r="98" spans="2:8" x14ac:dyDescent="0.3">
      <c r="B98" s="141">
        <v>44893</v>
      </c>
      <c r="C98" s="142">
        <v>4005.75</v>
      </c>
      <c r="D98" s="59">
        <f t="shared" si="2"/>
        <v>2.5944768218646219E-2</v>
      </c>
      <c r="G98" s="143">
        <v>18696.099609000001</v>
      </c>
      <c r="H98" s="59">
        <f t="shared" si="3"/>
        <v>9.9039639707769744E-3</v>
      </c>
    </row>
    <row r="99" spans="2:8" x14ac:dyDescent="0.3">
      <c r="B99" s="141">
        <v>44900</v>
      </c>
      <c r="C99" s="142">
        <v>4002.3999020000001</v>
      </c>
      <c r="D99" s="59">
        <f t="shared" si="2"/>
        <v>-8.3632228671282061E-4</v>
      </c>
      <c r="G99" s="143">
        <v>18496.599609000001</v>
      </c>
      <c r="H99" s="59">
        <f t="shared" si="3"/>
        <v>-1.0670674855838058E-2</v>
      </c>
    </row>
    <row r="100" spans="2:8" x14ac:dyDescent="0.3">
      <c r="B100" s="141">
        <v>44907</v>
      </c>
      <c r="C100" s="142">
        <v>3990</v>
      </c>
      <c r="D100" s="59">
        <f t="shared" si="2"/>
        <v>-3.0981167058803383E-3</v>
      </c>
      <c r="G100" s="143">
        <v>18269</v>
      </c>
      <c r="H100" s="59">
        <f t="shared" si="3"/>
        <v>-1.2304943276668867E-2</v>
      </c>
    </row>
    <row r="101" spans="2:8" x14ac:dyDescent="0.3">
      <c r="B101" s="141">
        <v>44914</v>
      </c>
      <c r="C101" s="142">
        <v>3875.6000979999999</v>
      </c>
      <c r="D101" s="59">
        <f t="shared" si="2"/>
        <v>-2.8671654636591493E-2</v>
      </c>
      <c r="G101" s="143">
        <v>17806.800781000002</v>
      </c>
      <c r="H101" s="59">
        <f t="shared" si="3"/>
        <v>-2.529964524604511E-2</v>
      </c>
    </row>
    <row r="102" spans="2:8" x14ac:dyDescent="0.3">
      <c r="B102" s="141">
        <v>44921</v>
      </c>
      <c r="C102" s="142">
        <v>4068.75</v>
      </c>
      <c r="D102" s="59">
        <f t="shared" si="2"/>
        <v>4.9837417978102261E-2</v>
      </c>
      <c r="G102" s="143">
        <v>18105.300781000002</v>
      </c>
      <c r="H102" s="59">
        <f t="shared" si="3"/>
        <v>1.6763258244484991E-2</v>
      </c>
    </row>
    <row r="103" spans="2:8" x14ac:dyDescent="0.3">
      <c r="B103" s="141">
        <v>44928</v>
      </c>
      <c r="C103" s="142">
        <v>3842.5</v>
      </c>
      <c r="D103" s="59">
        <f t="shared" si="2"/>
        <v>-5.5606758832565273E-2</v>
      </c>
      <c r="G103" s="143">
        <v>17859.449218999998</v>
      </c>
      <c r="H103" s="59">
        <f t="shared" si="3"/>
        <v>-1.3578982474458767E-2</v>
      </c>
    </row>
    <row r="104" spans="2:8" x14ac:dyDescent="0.3">
      <c r="B104" s="141">
        <v>44935</v>
      </c>
      <c r="C104" s="142">
        <v>3863.6999510000001</v>
      </c>
      <c r="D104" s="59">
        <f t="shared" si="2"/>
        <v>5.517228627195836E-3</v>
      </c>
      <c r="G104" s="143">
        <v>17956.599609000001</v>
      </c>
      <c r="H104" s="59">
        <f t="shared" si="3"/>
        <v>5.4397192661825855E-3</v>
      </c>
    </row>
    <row r="105" spans="2:8" x14ac:dyDescent="0.3">
      <c r="B105" s="141">
        <v>44942</v>
      </c>
      <c r="C105" s="142">
        <v>3513.75</v>
      </c>
      <c r="D105" s="59">
        <f t="shared" si="2"/>
        <v>-9.0573790780370089E-2</v>
      </c>
      <c r="G105" s="143">
        <v>18027.650390999999</v>
      </c>
      <c r="H105" s="59">
        <f t="shared" si="3"/>
        <v>3.9568060516528281E-3</v>
      </c>
    </row>
    <row r="106" spans="2:8" x14ac:dyDescent="0.3">
      <c r="B106" s="141">
        <v>44949</v>
      </c>
      <c r="C106" s="142">
        <v>3562.3500979999999</v>
      </c>
      <c r="D106" s="59">
        <f t="shared" si="2"/>
        <v>1.3831404624688792E-2</v>
      </c>
      <c r="G106" s="143">
        <v>17604.349609000001</v>
      </c>
      <c r="H106" s="59">
        <f t="shared" si="3"/>
        <v>-2.3480640727941093E-2</v>
      </c>
    </row>
    <row r="107" spans="2:8" x14ac:dyDescent="0.3">
      <c r="B107" s="141">
        <v>44956</v>
      </c>
      <c r="C107" s="142">
        <v>3470.3500979999999</v>
      </c>
      <c r="D107" s="59">
        <f t="shared" si="2"/>
        <v>-2.5825648088785957E-2</v>
      </c>
      <c r="G107" s="143">
        <v>17854.050781000002</v>
      </c>
      <c r="H107" s="59">
        <f t="shared" si="3"/>
        <v>1.4184061186352848E-2</v>
      </c>
    </row>
    <row r="108" spans="2:8" x14ac:dyDescent="0.3">
      <c r="B108" s="141">
        <v>44963</v>
      </c>
      <c r="C108" s="142">
        <v>3498.8500979999999</v>
      </c>
      <c r="D108" s="59">
        <f t="shared" si="2"/>
        <v>8.2124279093411801E-3</v>
      </c>
      <c r="G108" s="143">
        <v>17856.5</v>
      </c>
      <c r="H108" s="59">
        <f t="shared" si="3"/>
        <v>1.371800175793414E-4</v>
      </c>
    </row>
    <row r="109" spans="2:8" x14ac:dyDescent="0.3">
      <c r="B109" s="141">
        <v>44970</v>
      </c>
      <c r="C109" s="142">
        <v>3545</v>
      </c>
      <c r="D109" s="59">
        <f t="shared" si="2"/>
        <v>1.3190019780035867E-2</v>
      </c>
      <c r="G109" s="143">
        <v>17944.199218999998</v>
      </c>
      <c r="H109" s="59">
        <f t="shared" si="3"/>
        <v>4.9113330719905424E-3</v>
      </c>
    </row>
    <row r="110" spans="2:8" x14ac:dyDescent="0.3">
      <c r="B110" s="141">
        <v>44977</v>
      </c>
      <c r="C110" s="142">
        <v>3552.8500979999999</v>
      </c>
      <c r="D110" s="59">
        <f t="shared" si="2"/>
        <v>2.2144141043722865E-3</v>
      </c>
      <c r="G110" s="143">
        <v>17844.599609000001</v>
      </c>
      <c r="H110" s="59">
        <f t="shared" si="3"/>
        <v>-5.550518514893521E-3</v>
      </c>
    </row>
  </sheetData>
  <autoFilter ref="B5:D5" xr:uid="{B0B07426-20AB-4B18-AB6C-574C422138A5}"/>
  <mergeCells count="3">
    <mergeCell ref="B3:E3"/>
    <mergeCell ref="G3:J3"/>
    <mergeCell ref="L33:O3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D06CB-8948-4700-8A08-ABA51BF5FBB4}">
  <sheetPr>
    <tabColor rgb="FF002060"/>
  </sheetPr>
  <dimension ref="A1:M51"/>
  <sheetViews>
    <sheetView showGridLines="0" topLeftCell="A19" workbookViewId="0">
      <selection activeCell="E54" sqref="E54"/>
    </sheetView>
  </sheetViews>
  <sheetFormatPr defaultRowHeight="14.4" x14ac:dyDescent="0.3"/>
  <cols>
    <col min="1" max="1" width="1.88671875" customWidth="1"/>
    <col min="2" max="2" width="38.33203125" bestFit="1" customWidth="1"/>
    <col min="4" max="4" width="11" customWidth="1"/>
    <col min="5" max="5" width="10.6640625" bestFit="1" customWidth="1"/>
    <col min="6" max="6" width="9.6640625" customWidth="1"/>
    <col min="9" max="9" width="10.33203125" bestFit="1" customWidth="1"/>
    <col min="10" max="10" width="9.77734375" customWidth="1"/>
    <col min="11" max="11" width="12.77734375" customWidth="1"/>
    <col min="12" max="12" width="21.33203125" bestFit="1" customWidth="1"/>
    <col min="16" max="16" width="11.77734375" customWidth="1"/>
  </cols>
  <sheetData>
    <row r="1" spans="1:13" ht="7.2" customHeight="1" x14ac:dyDescent="0.3">
      <c r="A1" s="252"/>
      <c r="B1" s="252"/>
      <c r="C1" s="252"/>
      <c r="D1" s="252"/>
      <c r="E1" s="252"/>
      <c r="F1" s="252"/>
      <c r="G1" s="252"/>
      <c r="H1" s="252"/>
      <c r="I1" s="252"/>
      <c r="J1" s="252"/>
      <c r="K1" s="252"/>
    </row>
    <row r="6" spans="1:13" ht="19.8" x14ac:dyDescent="0.4">
      <c r="B6" s="253" t="s">
        <v>751</v>
      </c>
      <c r="C6" s="253"/>
      <c r="D6" s="253"/>
      <c r="E6" s="253"/>
      <c r="F6" s="253"/>
      <c r="G6" s="253"/>
      <c r="H6" s="253"/>
      <c r="I6" s="253"/>
      <c r="J6" s="253"/>
      <c r="K6" s="253"/>
      <c r="L6" s="163"/>
      <c r="M6" s="163"/>
    </row>
    <row r="8" spans="1:13" x14ac:dyDescent="0.3">
      <c r="B8" s="117" t="s">
        <v>214</v>
      </c>
      <c r="C8" s="117"/>
      <c r="D8" s="117"/>
      <c r="E8" s="117"/>
      <c r="F8" s="117"/>
      <c r="I8" s="8"/>
    </row>
    <row r="10" spans="1:13" x14ac:dyDescent="0.3">
      <c r="B10" t="s">
        <v>215</v>
      </c>
    </row>
    <row r="11" spans="1:13" ht="15" thickBot="1" x14ac:dyDescent="0.35"/>
    <row r="12" spans="1:13" x14ac:dyDescent="0.3">
      <c r="B12" s="118"/>
      <c r="C12" s="118"/>
      <c r="D12" s="118"/>
      <c r="E12" s="118"/>
      <c r="F12" s="118"/>
      <c r="G12" s="119" t="s">
        <v>222</v>
      </c>
      <c r="H12" s="119" t="s">
        <v>222</v>
      </c>
      <c r="I12" s="119" t="s">
        <v>225</v>
      </c>
      <c r="J12" s="119" t="s">
        <v>227</v>
      </c>
      <c r="K12" s="167"/>
    </row>
    <row r="13" spans="1:13" ht="16.8" thickBot="1" x14ac:dyDescent="0.35">
      <c r="B13" s="93" t="s">
        <v>216</v>
      </c>
      <c r="C13" s="93" t="s">
        <v>217</v>
      </c>
      <c r="D13" s="93" t="s">
        <v>218</v>
      </c>
      <c r="E13" s="93" t="s">
        <v>219</v>
      </c>
      <c r="F13" s="93" t="s">
        <v>221</v>
      </c>
      <c r="G13" s="93" t="s">
        <v>223</v>
      </c>
      <c r="H13" s="93" t="s">
        <v>224</v>
      </c>
      <c r="I13" s="93" t="s">
        <v>226</v>
      </c>
      <c r="J13" s="93" t="s">
        <v>228</v>
      </c>
    </row>
    <row r="15" spans="1:13" x14ac:dyDescent="0.3">
      <c r="B15" s="121" t="s">
        <v>231</v>
      </c>
      <c r="C15" s="120" t="s">
        <v>230</v>
      </c>
      <c r="D15" s="169">
        <v>444.16</v>
      </c>
      <c r="E15" s="169">
        <v>280608.3</v>
      </c>
      <c r="F15" s="170">
        <v>0.3</v>
      </c>
      <c r="G15" s="122">
        <f>D15/E15</f>
        <v>1.5828469792233517E-3</v>
      </c>
      <c r="H15" s="122">
        <f>D15/(D15+E15)</f>
        <v>1.5803455340686222E-3</v>
      </c>
      <c r="I15" s="169">
        <v>0.78800000000000003</v>
      </c>
      <c r="J15" s="123">
        <f>I15/(1+(1-F15)*G15)</f>
        <v>0.78712786792239764</v>
      </c>
    </row>
    <row r="16" spans="1:13" x14ac:dyDescent="0.3">
      <c r="B16" s="120" t="s">
        <v>229</v>
      </c>
      <c r="C16" s="120" t="s">
        <v>230</v>
      </c>
      <c r="D16" s="171">
        <v>1478</v>
      </c>
      <c r="E16" s="171">
        <v>505303.1</v>
      </c>
      <c r="F16" s="170">
        <v>0.3</v>
      </c>
      <c r="G16" s="122">
        <f>D16/E16</f>
        <v>2.9249771077992596E-3</v>
      </c>
      <c r="H16" s="122">
        <f>D16/(D16+E16)</f>
        <v>2.9164465683507142E-3</v>
      </c>
      <c r="I16" s="169">
        <v>0.504</v>
      </c>
      <c r="J16" s="123">
        <f t="shared" ref="J16:J20" si="0">I16/(1+(1-F16)*G16)</f>
        <v>0.50297017662322996</v>
      </c>
      <c r="K16" s="134"/>
    </row>
    <row r="17" spans="2:13" x14ac:dyDescent="0.3">
      <c r="B17" s="120" t="s">
        <v>232</v>
      </c>
      <c r="C17" s="120" t="s">
        <v>230</v>
      </c>
      <c r="D17" s="171">
        <v>1380.28</v>
      </c>
      <c r="E17" s="171">
        <v>128936.8</v>
      </c>
      <c r="F17" s="170">
        <v>0.3</v>
      </c>
      <c r="G17" s="122">
        <f t="shared" ref="G17:G20" si="1">D17/E17</f>
        <v>1.07050896253048E-2</v>
      </c>
      <c r="H17" s="122">
        <f t="shared" ref="H17:H20" si="2">D17/(D17+E17)</f>
        <v>1.05917044795663E-2</v>
      </c>
      <c r="I17" s="169">
        <v>0.372</v>
      </c>
      <c r="J17" s="123">
        <f t="shared" si="0"/>
        <v>0.36923312838758549</v>
      </c>
      <c r="K17" s="134"/>
    </row>
    <row r="18" spans="2:13" x14ac:dyDescent="0.3">
      <c r="B18" s="120" t="s">
        <v>233</v>
      </c>
      <c r="C18" s="120" t="s">
        <v>230</v>
      </c>
      <c r="D18" s="171">
        <v>4415.8100000000004</v>
      </c>
      <c r="E18" s="171">
        <v>111376.51</v>
      </c>
      <c r="F18" s="170">
        <v>0.3</v>
      </c>
      <c r="G18" s="122">
        <f t="shared" si="1"/>
        <v>3.9647588167379282E-2</v>
      </c>
      <c r="H18" s="122">
        <f t="shared" si="2"/>
        <v>3.8135603466620246E-2</v>
      </c>
      <c r="I18" s="169">
        <v>1.04</v>
      </c>
      <c r="J18" s="123">
        <f t="shared" si="0"/>
        <v>1.0119159803653397</v>
      </c>
      <c r="K18" s="134"/>
    </row>
    <row r="19" spans="2:13" x14ac:dyDescent="0.3">
      <c r="B19" s="120" t="s">
        <v>451</v>
      </c>
      <c r="C19" s="120" t="s">
        <v>230</v>
      </c>
      <c r="D19" s="171">
        <v>2819.51</v>
      </c>
      <c r="E19" s="171">
        <v>110039.4</v>
      </c>
      <c r="F19" s="170">
        <v>0.3</v>
      </c>
      <c r="G19" s="122">
        <f t="shared" si="1"/>
        <v>2.562273149435566E-2</v>
      </c>
      <c r="H19" s="122">
        <f t="shared" si="2"/>
        <v>2.4982608816618915E-2</v>
      </c>
      <c r="I19" s="169">
        <v>0.42599999999999999</v>
      </c>
      <c r="J19" s="123">
        <f t="shared" si="0"/>
        <v>0.41849392968535803</v>
      </c>
      <c r="K19" s="134"/>
    </row>
    <row r="20" spans="2:13" x14ac:dyDescent="0.3">
      <c r="B20" s="120" t="s">
        <v>234</v>
      </c>
      <c r="C20" s="120" t="s">
        <v>230</v>
      </c>
      <c r="D20" s="171">
        <v>1287.32</v>
      </c>
      <c r="E20" s="171">
        <v>78674.789999999994</v>
      </c>
      <c r="F20" s="170">
        <v>0.3</v>
      </c>
      <c r="G20" s="122">
        <f t="shared" si="1"/>
        <v>1.6362547647092544E-2</v>
      </c>
      <c r="H20" s="122">
        <f t="shared" si="2"/>
        <v>1.609912494805352E-2</v>
      </c>
      <c r="I20" s="169">
        <v>0.92700000000000005</v>
      </c>
      <c r="J20" s="123">
        <f t="shared" si="0"/>
        <v>0.91650257802882407</v>
      </c>
      <c r="K20" s="134"/>
    </row>
    <row r="22" spans="2:13" ht="15" thickBot="1" x14ac:dyDescent="0.35"/>
    <row r="23" spans="2:13" x14ac:dyDescent="0.3">
      <c r="E23" s="146" t="s">
        <v>237</v>
      </c>
      <c r="F23" s="147">
        <f>AVERAGE(F15:F20)</f>
        <v>0.3</v>
      </c>
      <c r="G23" s="148">
        <f>AVERAGE(G16:G20)</f>
        <v>1.9052586808386306E-2</v>
      </c>
      <c r="H23" s="148">
        <f t="shared" ref="H23" si="3">AVERAGE(H16:H20)</f>
        <v>1.854509765584194E-2</v>
      </c>
      <c r="I23" s="146">
        <f>AVERAGE(I15:I20)</f>
        <v>0.67616666666666669</v>
      </c>
      <c r="J23" s="149">
        <f>AVERAGE(J15:J20)</f>
        <v>0.66770727683545583</v>
      </c>
      <c r="K23" s="166"/>
      <c r="L23" s="26"/>
    </row>
    <row r="24" spans="2:13" ht="15" thickBot="1" x14ac:dyDescent="0.35">
      <c r="E24" s="150" t="s">
        <v>157</v>
      </c>
      <c r="F24" s="151">
        <f>MEDIAN(F15:F20)</f>
        <v>0.3</v>
      </c>
      <c r="G24" s="152">
        <f>MEDIAN(G16:G20)</f>
        <v>1.6362547647092544E-2</v>
      </c>
      <c r="H24" s="152">
        <f t="shared" ref="H24" si="4">MEDIAN(H16:H20)</f>
        <v>1.609912494805352E-2</v>
      </c>
      <c r="I24" s="150">
        <f>MEDIAN(I15:I20)</f>
        <v>0.64600000000000002</v>
      </c>
      <c r="J24" s="153">
        <f>MEDIAN(J15:J20)</f>
        <v>0.6450490222728138</v>
      </c>
      <c r="K24" s="166"/>
      <c r="L24" s="26"/>
    </row>
    <row r="27" spans="2:13" ht="15" thickBot="1" x14ac:dyDescent="0.35">
      <c r="B27" s="96" t="s">
        <v>238</v>
      </c>
      <c r="C27" s="93"/>
      <c r="D27" s="93"/>
      <c r="G27" s="96" t="s">
        <v>383</v>
      </c>
      <c r="H27" s="93"/>
      <c r="I27" s="93"/>
      <c r="J27" s="96"/>
      <c r="K27" s="93"/>
    </row>
    <row r="29" spans="2:13" x14ac:dyDescent="0.3">
      <c r="B29" t="s">
        <v>239</v>
      </c>
      <c r="D29" s="177">
        <f>37/D15</f>
        <v>8.3303314121037461E-2</v>
      </c>
      <c r="E29" t="s">
        <v>537</v>
      </c>
      <c r="G29" t="s">
        <v>241</v>
      </c>
      <c r="K29" s="172">
        <v>6.7159999999999997E-2</v>
      </c>
      <c r="L29" s="249" t="s">
        <v>513</v>
      </c>
      <c r="M29" s="249"/>
    </row>
    <row r="30" spans="2:13" x14ac:dyDescent="0.3">
      <c r="B30" s="125" t="s">
        <v>220</v>
      </c>
      <c r="C30" s="125"/>
      <c r="D30" s="173">
        <f>F15</f>
        <v>0.3</v>
      </c>
      <c r="G30" t="s">
        <v>242</v>
      </c>
      <c r="K30" s="176">
        <f>Rm!I5-WACC!K29</f>
        <v>8.4332307692307706E-2</v>
      </c>
      <c r="L30" s="249" t="s">
        <v>514</v>
      </c>
      <c r="M30" s="249"/>
    </row>
    <row r="31" spans="2:13" ht="16.2" x14ac:dyDescent="0.3">
      <c r="B31" s="154" t="s">
        <v>382</v>
      </c>
      <c r="C31" s="154"/>
      <c r="D31" s="127">
        <f>D29*(1-D30)</f>
        <v>5.8312319884726217E-2</v>
      </c>
      <c r="G31" t="s">
        <v>244</v>
      </c>
      <c r="K31" s="134">
        <f>K40</f>
        <v>0.65358099654651503</v>
      </c>
    </row>
    <row r="32" spans="2:13" x14ac:dyDescent="0.3">
      <c r="G32" s="155" t="s">
        <v>240</v>
      </c>
      <c r="H32" s="155"/>
      <c r="I32" s="155"/>
      <c r="J32" s="155"/>
      <c r="K32" s="174">
        <f>K29+K30*K31</f>
        <v>0.12227799370260581</v>
      </c>
      <c r="L32" s="156"/>
    </row>
    <row r="35" spans="2:12" ht="15" thickBot="1" x14ac:dyDescent="0.35">
      <c r="B35" s="96" t="s">
        <v>364</v>
      </c>
      <c r="C35" s="93"/>
      <c r="D35" s="93"/>
      <c r="G35" s="96" t="s">
        <v>243</v>
      </c>
      <c r="H35" s="93"/>
      <c r="I35" s="93"/>
      <c r="J35" s="96"/>
      <c r="K35" s="93"/>
    </row>
    <row r="36" spans="2:12" x14ac:dyDescent="0.3">
      <c r="E36" s="118"/>
    </row>
    <row r="37" spans="2:12" x14ac:dyDescent="0.3">
      <c r="D37" s="132" t="s">
        <v>365</v>
      </c>
      <c r="E37" s="132" t="s">
        <v>366</v>
      </c>
      <c r="G37" t="s">
        <v>379</v>
      </c>
      <c r="K37" s="134">
        <f>J24</f>
        <v>0.6450490222728138</v>
      </c>
    </row>
    <row r="38" spans="2:12" x14ac:dyDescent="0.3">
      <c r="B38" t="s">
        <v>218</v>
      </c>
      <c r="C38" s="157">
        <f>D15</f>
        <v>444.16</v>
      </c>
      <c r="D38" s="58">
        <f>C38/C40</f>
        <v>1.5803455340686222E-3</v>
      </c>
      <c r="E38" s="158">
        <f>H23</f>
        <v>1.854509765584194E-2</v>
      </c>
      <c r="G38" t="s">
        <v>380</v>
      </c>
      <c r="K38" s="135">
        <f>E43</f>
        <v>1.8895516861292205E-2</v>
      </c>
    </row>
    <row r="39" spans="2:12" x14ac:dyDescent="0.3">
      <c r="B39" t="s">
        <v>9</v>
      </c>
      <c r="C39" s="157">
        <f>E15</f>
        <v>280608.3</v>
      </c>
      <c r="D39" s="58">
        <f>C39/C40</f>
        <v>0.99841965446593151</v>
      </c>
      <c r="E39" s="124">
        <f>E40-E38</f>
        <v>0.98145490234415833</v>
      </c>
      <c r="G39" t="s">
        <v>220</v>
      </c>
      <c r="K39" s="124">
        <f>D30</f>
        <v>0.3</v>
      </c>
    </row>
    <row r="40" spans="2:12" x14ac:dyDescent="0.3">
      <c r="B40" s="126" t="s">
        <v>378</v>
      </c>
      <c r="C40" s="168">
        <f>SUM(C38:C39)</f>
        <v>281052.45999999996</v>
      </c>
      <c r="D40" s="133">
        <f>SUM(D38:D39)</f>
        <v>1.0000000000000002</v>
      </c>
      <c r="E40" s="133">
        <f>D40</f>
        <v>1.0000000000000002</v>
      </c>
      <c r="G40" s="155" t="s">
        <v>243</v>
      </c>
      <c r="H40" s="155"/>
      <c r="I40" s="155"/>
      <c r="J40" s="155"/>
      <c r="K40" s="136">
        <f>K37*(1+(1-K39)*K38)</f>
        <v>0.65358099654651503</v>
      </c>
    </row>
    <row r="43" spans="2:12" ht="15" thickBot="1" x14ac:dyDescent="0.35">
      <c r="B43" s="154" t="s">
        <v>381</v>
      </c>
      <c r="C43" s="154"/>
      <c r="D43" s="127">
        <f>D38/D39</f>
        <v>1.5828469792233517E-3</v>
      </c>
      <c r="E43" s="127">
        <f>E38/E39</f>
        <v>1.8895516861292205E-2</v>
      </c>
      <c r="G43" s="96" t="s">
        <v>408</v>
      </c>
      <c r="H43" s="93"/>
      <c r="I43" s="93"/>
      <c r="J43" s="96"/>
      <c r="K43" s="93"/>
    </row>
    <row r="44" spans="2:12" x14ac:dyDescent="0.3">
      <c r="G44" t="s">
        <v>238</v>
      </c>
      <c r="K44" s="135">
        <f>D31</f>
        <v>5.8312319884726217E-2</v>
      </c>
      <c r="L44" s="249"/>
    </row>
    <row r="45" spans="2:12" x14ac:dyDescent="0.3">
      <c r="B45" s="249"/>
      <c r="G45" t="s">
        <v>442</v>
      </c>
      <c r="K45" s="124">
        <f>E38</f>
        <v>1.854509765584194E-2</v>
      </c>
      <c r="L45" s="249"/>
    </row>
    <row r="46" spans="2:12" x14ac:dyDescent="0.3">
      <c r="B46" s="249"/>
      <c r="G46" t="s">
        <v>240</v>
      </c>
      <c r="K46" s="28">
        <f>K32</f>
        <v>0.12227799370260581</v>
      </c>
      <c r="L46" s="249"/>
    </row>
    <row r="47" spans="2:12" x14ac:dyDescent="0.3">
      <c r="B47" s="250"/>
      <c r="C47" s="137"/>
      <c r="D47" s="137"/>
      <c r="G47" t="s">
        <v>443</v>
      </c>
      <c r="K47" s="124">
        <f>E39</f>
        <v>0.98145490234415833</v>
      </c>
      <c r="L47" s="249"/>
    </row>
    <row r="48" spans="2:12" x14ac:dyDescent="0.3">
      <c r="B48" s="251"/>
      <c r="C48" s="138"/>
      <c r="D48" s="138"/>
      <c r="G48" s="155" t="s">
        <v>444</v>
      </c>
      <c r="H48" s="155"/>
      <c r="I48" s="155"/>
      <c r="J48" s="155"/>
      <c r="K48" s="287">
        <f>(K44*K45)+(K46*K47)</f>
        <v>0.12109174403503153</v>
      </c>
      <c r="L48" s="249"/>
    </row>
    <row r="49" spans="2:4" x14ac:dyDescent="0.3">
      <c r="B49" s="251"/>
      <c r="C49" s="138"/>
      <c r="D49" s="138"/>
    </row>
    <row r="50" spans="2:4" x14ac:dyDescent="0.3">
      <c r="B50" s="251"/>
      <c r="C50" s="138"/>
      <c r="D50" s="138"/>
    </row>
    <row r="51" spans="2:4" x14ac:dyDescent="0.3">
      <c r="B51" s="249"/>
    </row>
  </sheetData>
  <pageMargins left="0.7" right="0.7" top="0.75" bottom="0.75" header="0.3" footer="0.3"/>
  <pageSetup paperSize="158" orientation="landscape" r:id="rId1"/>
  <ignoredErrors>
    <ignoredError sqref="I23:I24" formula="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9828B-D2CD-43A1-BCED-57831D84FD6C}">
  <sheetPr>
    <tabColor rgb="FF7030A0"/>
  </sheetPr>
  <dimension ref="B2:J28"/>
  <sheetViews>
    <sheetView showGridLines="0" workbookViewId="0">
      <selection activeCell="I4" sqref="I4"/>
    </sheetView>
  </sheetViews>
  <sheetFormatPr defaultRowHeight="14.4" x14ac:dyDescent="0.3"/>
  <cols>
    <col min="1" max="1" width="1.88671875" customWidth="1"/>
  </cols>
  <sheetData>
    <row r="2" spans="2:10" x14ac:dyDescent="0.3">
      <c r="B2" s="103" t="s">
        <v>54</v>
      </c>
      <c r="C2" s="103" t="s">
        <v>515</v>
      </c>
    </row>
    <row r="3" spans="2:10" x14ac:dyDescent="0.3">
      <c r="B3">
        <v>2000</v>
      </c>
      <c r="C3" s="59">
        <v>-0.14649999999999999</v>
      </c>
      <c r="G3" t="s">
        <v>534</v>
      </c>
      <c r="I3" s="59">
        <f>AVERAGE(C3:C28)</f>
        <v>0.1514923076923077</v>
      </c>
      <c r="J3">
        <v>100</v>
      </c>
    </row>
    <row r="4" spans="2:10" ht="16.2" x14ac:dyDescent="0.3">
      <c r="B4">
        <v>2001</v>
      </c>
      <c r="C4" s="59">
        <v>-0.1618</v>
      </c>
      <c r="G4" t="s">
        <v>532</v>
      </c>
      <c r="I4" s="59" t="s">
        <v>536</v>
      </c>
    </row>
    <row r="5" spans="2:10" x14ac:dyDescent="0.3">
      <c r="B5">
        <v>2002</v>
      </c>
      <c r="C5" s="59">
        <v>3.2500000000000001E-2</v>
      </c>
      <c r="G5" t="s">
        <v>535</v>
      </c>
      <c r="I5" s="28">
        <f>SUM(I3:I4)</f>
        <v>0.1514923076923077</v>
      </c>
    </row>
    <row r="6" spans="2:10" x14ac:dyDescent="0.3">
      <c r="B6">
        <v>2003</v>
      </c>
      <c r="C6" s="59">
        <v>0.71900000000000008</v>
      </c>
    </row>
    <row r="7" spans="2:10" x14ac:dyDescent="0.3">
      <c r="B7">
        <v>2004</v>
      </c>
      <c r="C7" s="59">
        <v>0.10679999999999999</v>
      </c>
    </row>
    <row r="8" spans="2:10" x14ac:dyDescent="0.3">
      <c r="B8">
        <v>2005</v>
      </c>
      <c r="C8" s="59">
        <v>0.36340000000000006</v>
      </c>
    </row>
    <row r="9" spans="2:10" x14ac:dyDescent="0.3">
      <c r="B9">
        <v>2006</v>
      </c>
      <c r="C9" s="59">
        <v>0.39829999999999999</v>
      </c>
    </row>
    <row r="10" spans="2:10" x14ac:dyDescent="0.3">
      <c r="B10">
        <v>2007</v>
      </c>
      <c r="C10" s="59">
        <v>0.54770000000000008</v>
      </c>
    </row>
    <row r="11" spans="2:10" x14ac:dyDescent="0.3">
      <c r="B11">
        <v>2008</v>
      </c>
      <c r="C11" s="59">
        <v>-0.51790000000000003</v>
      </c>
    </row>
    <row r="12" spans="2:10" x14ac:dyDescent="0.3">
      <c r="B12">
        <v>2009</v>
      </c>
      <c r="C12" s="59">
        <v>0.75760000000000005</v>
      </c>
    </row>
    <row r="13" spans="2:10" x14ac:dyDescent="0.3">
      <c r="B13">
        <v>2010</v>
      </c>
      <c r="C13" s="59">
        <v>0.17949999999999999</v>
      </c>
    </row>
    <row r="14" spans="2:10" x14ac:dyDescent="0.3">
      <c r="B14">
        <v>2011</v>
      </c>
      <c r="C14" s="59">
        <v>-0.2462</v>
      </c>
    </row>
    <row r="15" spans="2:10" x14ac:dyDescent="0.3">
      <c r="B15">
        <v>2012</v>
      </c>
      <c r="C15" s="59">
        <v>0.27699999999999997</v>
      </c>
    </row>
    <row r="16" spans="2:10" x14ac:dyDescent="0.3">
      <c r="B16">
        <v>2013</v>
      </c>
      <c r="C16" s="59">
        <v>6.7599999999999993E-2</v>
      </c>
    </row>
    <row r="17" spans="2:3" x14ac:dyDescent="0.3">
      <c r="B17">
        <v>2014</v>
      </c>
      <c r="C17" s="59">
        <v>0.31390000000000001</v>
      </c>
    </row>
    <row r="18" spans="2:3" x14ac:dyDescent="0.3">
      <c r="B18">
        <v>2015</v>
      </c>
      <c r="C18" s="59">
        <v>-4.0599999999999997E-2</v>
      </c>
    </row>
    <row r="19" spans="2:3" x14ac:dyDescent="0.3">
      <c r="B19">
        <v>2016</v>
      </c>
      <c r="C19" s="59">
        <v>3.0099999999999998E-2</v>
      </c>
    </row>
    <row r="20" spans="2:3" x14ac:dyDescent="0.3">
      <c r="B20">
        <v>2017</v>
      </c>
      <c r="C20" s="59">
        <v>0.28649999999999998</v>
      </c>
    </row>
    <row r="21" spans="2:3" x14ac:dyDescent="0.3">
      <c r="B21">
        <v>2018</v>
      </c>
      <c r="C21" s="59">
        <v>3.15E-2</v>
      </c>
    </row>
    <row r="22" spans="2:3" x14ac:dyDescent="0.3">
      <c r="B22">
        <v>2019</v>
      </c>
      <c r="C22" s="59">
        <v>0.1202</v>
      </c>
    </row>
    <row r="23" spans="2:3" x14ac:dyDescent="0.3">
      <c r="B23">
        <v>2020</v>
      </c>
      <c r="C23" s="59">
        <v>0.14899999999999999</v>
      </c>
    </row>
    <row r="24" spans="2:3" x14ac:dyDescent="0.3">
      <c r="B24">
        <v>2021</v>
      </c>
      <c r="C24" s="59">
        <v>0.2412</v>
      </c>
    </row>
    <row r="25" spans="2:3" x14ac:dyDescent="0.3">
      <c r="B25">
        <v>2022</v>
      </c>
      <c r="C25" s="59">
        <v>4.3200000000000002E-2</v>
      </c>
    </row>
    <row r="26" spans="2:3" x14ac:dyDescent="0.3">
      <c r="B26">
        <v>2023</v>
      </c>
      <c r="C26" s="59">
        <v>0.19420000000000001</v>
      </c>
    </row>
    <row r="27" spans="2:3" x14ac:dyDescent="0.3">
      <c r="B27">
        <v>2024</v>
      </c>
      <c r="C27" s="59">
        <v>8.7499999999999994E-2</v>
      </c>
    </row>
    <row r="28" spans="2:3" x14ac:dyDescent="0.3">
      <c r="B28">
        <v>2025</v>
      </c>
      <c r="C28" s="59">
        <v>0.1051</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A43C9-B8D4-4B1B-AE72-2085975C3D93}">
  <dimension ref="C2:AA33"/>
  <sheetViews>
    <sheetView showGridLines="0" workbookViewId="0">
      <selection activeCell="D23" sqref="D23"/>
    </sheetView>
  </sheetViews>
  <sheetFormatPr defaultRowHeight="14.4" x14ac:dyDescent="0.3"/>
  <cols>
    <col min="1" max="1" width="1.88671875" customWidth="1"/>
    <col min="3" max="3" width="7.44140625" customWidth="1"/>
    <col min="4" max="4" width="20.6640625" bestFit="1" customWidth="1"/>
    <col min="5" max="5" width="22.5546875" bestFit="1" customWidth="1"/>
    <col min="6" max="6" width="15.6640625" customWidth="1"/>
    <col min="7" max="7" width="10.77734375" customWidth="1"/>
    <col min="8" max="8" width="12.109375" customWidth="1"/>
    <col min="11" max="11" width="7.44140625" customWidth="1"/>
    <col min="12" max="12" width="15.33203125" bestFit="1" customWidth="1"/>
    <col min="13" max="13" width="9.77734375" customWidth="1"/>
    <col min="14" max="14" width="15.6640625" customWidth="1"/>
    <col min="15" max="15" width="10.77734375" customWidth="1"/>
    <col min="16" max="16" width="12.109375" customWidth="1"/>
    <col min="27" max="27" width="103.33203125" customWidth="1"/>
  </cols>
  <sheetData>
    <row r="2" spans="3:27" x14ac:dyDescent="0.3">
      <c r="D2" t="s">
        <v>461</v>
      </c>
      <c r="K2" t="s">
        <v>462</v>
      </c>
    </row>
    <row r="4" spans="3:27" ht="72" x14ac:dyDescent="0.3">
      <c r="C4" s="11" t="s">
        <v>445</v>
      </c>
      <c r="D4" s="11" t="s">
        <v>446</v>
      </c>
      <c r="E4" s="11" t="s">
        <v>458</v>
      </c>
      <c r="F4" s="11" t="s">
        <v>459</v>
      </c>
      <c r="G4" s="11" t="s">
        <v>447</v>
      </c>
      <c r="H4" s="11" t="s">
        <v>460</v>
      </c>
      <c r="I4" s="130"/>
      <c r="J4" s="130"/>
      <c r="K4" s="130" t="s">
        <v>445</v>
      </c>
      <c r="L4" s="130" t="s">
        <v>446</v>
      </c>
      <c r="M4" s="130" t="s">
        <v>458</v>
      </c>
      <c r="N4" s="130" t="s">
        <v>459</v>
      </c>
      <c r="O4" s="130" t="s">
        <v>447</v>
      </c>
      <c r="P4" s="130" t="s">
        <v>460</v>
      </c>
      <c r="U4" t="s">
        <v>478</v>
      </c>
      <c r="AA4" s="159" t="s">
        <v>507</v>
      </c>
    </row>
    <row r="5" spans="3:27" x14ac:dyDescent="0.3">
      <c r="C5">
        <v>1</v>
      </c>
      <c r="D5" s="165" t="s">
        <v>229</v>
      </c>
      <c r="E5">
        <v>2150.6</v>
      </c>
      <c r="F5">
        <v>505303.1</v>
      </c>
      <c r="G5">
        <v>0.03</v>
      </c>
      <c r="H5">
        <v>1478</v>
      </c>
      <c r="K5">
        <v>1</v>
      </c>
      <c r="L5" t="s">
        <v>463</v>
      </c>
      <c r="M5">
        <v>289.64999999999998</v>
      </c>
      <c r="N5">
        <v>279522.40999999997</v>
      </c>
      <c r="O5">
        <v>0.15</v>
      </c>
      <c r="P5">
        <v>4592</v>
      </c>
      <c r="U5" t="s">
        <v>479</v>
      </c>
    </row>
    <row r="6" spans="3:27" x14ac:dyDescent="0.3">
      <c r="C6">
        <v>2</v>
      </c>
      <c r="D6" t="s">
        <v>448</v>
      </c>
      <c r="E6">
        <v>281.75</v>
      </c>
      <c r="F6">
        <v>353017.77</v>
      </c>
      <c r="G6">
        <v>0.03</v>
      </c>
      <c r="H6">
        <v>2399.06</v>
      </c>
      <c r="K6">
        <v>2</v>
      </c>
      <c r="L6" t="s">
        <v>464</v>
      </c>
      <c r="M6">
        <v>4081.1</v>
      </c>
      <c r="N6">
        <v>266188.11</v>
      </c>
      <c r="O6">
        <v>0.1</v>
      </c>
      <c r="P6">
        <v>2424.9899999999998</v>
      </c>
      <c r="U6" t="s">
        <v>480</v>
      </c>
    </row>
    <row r="7" spans="3:27" x14ac:dyDescent="0.3">
      <c r="C7">
        <v>3</v>
      </c>
      <c r="D7" t="s">
        <v>231</v>
      </c>
      <c r="E7">
        <v>1455.2</v>
      </c>
      <c r="F7">
        <v>280608.3</v>
      </c>
      <c r="G7">
        <v>0.08</v>
      </c>
      <c r="H7">
        <v>444.16</v>
      </c>
      <c r="K7">
        <v>3</v>
      </c>
      <c r="L7" t="s">
        <v>465</v>
      </c>
      <c r="M7">
        <v>2902.8</v>
      </c>
      <c r="N7">
        <v>154786.67000000001</v>
      </c>
      <c r="O7">
        <v>0.37</v>
      </c>
      <c r="P7">
        <v>2561.25</v>
      </c>
      <c r="U7" t="s">
        <v>481</v>
      </c>
    </row>
    <row r="8" spans="3:27" x14ac:dyDescent="0.3">
      <c r="C8">
        <v>4</v>
      </c>
      <c r="D8" t="s">
        <v>449</v>
      </c>
      <c r="E8">
        <v>478.1</v>
      </c>
      <c r="F8">
        <v>161715.65</v>
      </c>
      <c r="G8">
        <v>0.13</v>
      </c>
      <c r="H8">
        <v>2508.1799999999998</v>
      </c>
      <c r="K8">
        <v>4</v>
      </c>
      <c r="L8" t="s">
        <v>466</v>
      </c>
      <c r="M8">
        <v>330.1</v>
      </c>
      <c r="N8">
        <v>94534.83</v>
      </c>
      <c r="O8">
        <v>0.86</v>
      </c>
      <c r="P8">
        <v>1237.81</v>
      </c>
      <c r="U8" t="s">
        <v>479</v>
      </c>
    </row>
    <row r="9" spans="3:27" x14ac:dyDescent="0.3">
      <c r="C9">
        <v>5</v>
      </c>
      <c r="D9" s="165" t="s">
        <v>232</v>
      </c>
      <c r="E9">
        <v>5353</v>
      </c>
      <c r="F9">
        <v>128936.8</v>
      </c>
      <c r="G9">
        <v>0.27</v>
      </c>
      <c r="H9">
        <v>1380.28</v>
      </c>
      <c r="K9">
        <v>5</v>
      </c>
      <c r="L9" t="s">
        <v>467</v>
      </c>
      <c r="M9">
        <v>543.65</v>
      </c>
      <c r="N9">
        <v>94525.55</v>
      </c>
      <c r="O9">
        <v>0.35</v>
      </c>
      <c r="P9">
        <v>3096.6</v>
      </c>
      <c r="U9" t="s">
        <v>480</v>
      </c>
    </row>
    <row r="10" spans="3:27" x14ac:dyDescent="0.3">
      <c r="C10">
        <v>6</v>
      </c>
      <c r="D10" s="165" t="s">
        <v>233</v>
      </c>
      <c r="E10">
        <v>1088.4000000000001</v>
      </c>
      <c r="F10">
        <v>111376.51</v>
      </c>
      <c r="G10">
        <v>0.35</v>
      </c>
      <c r="H10">
        <v>4415.8100000000004</v>
      </c>
      <c r="K10">
        <v>6</v>
      </c>
      <c r="L10" t="s">
        <v>468</v>
      </c>
      <c r="M10">
        <v>194.11</v>
      </c>
      <c r="N10">
        <v>89719.81</v>
      </c>
      <c r="O10">
        <v>0.01</v>
      </c>
      <c r="P10">
        <v>62.63</v>
      </c>
      <c r="U10" t="s">
        <v>482</v>
      </c>
    </row>
    <row r="11" spans="3:27" x14ac:dyDescent="0.3">
      <c r="C11">
        <v>7</v>
      </c>
      <c r="D11" t="s">
        <v>450</v>
      </c>
      <c r="E11">
        <v>852.5</v>
      </c>
      <c r="F11">
        <v>110687.44</v>
      </c>
      <c r="G11">
        <v>0.13</v>
      </c>
      <c r="H11">
        <v>557</v>
      </c>
      <c r="K11">
        <v>7</v>
      </c>
      <c r="L11" t="s">
        <v>469</v>
      </c>
      <c r="M11">
        <v>1204.05</v>
      </c>
      <c r="N11">
        <v>78073.08</v>
      </c>
      <c r="O11">
        <v>0.01</v>
      </c>
      <c r="P11">
        <v>258.52999999999997</v>
      </c>
      <c r="U11" t="s">
        <v>483</v>
      </c>
    </row>
    <row r="12" spans="3:27" x14ac:dyDescent="0.3">
      <c r="C12">
        <v>8</v>
      </c>
      <c r="D12" s="165" t="s">
        <v>451</v>
      </c>
      <c r="E12">
        <v>1111.9000000000001</v>
      </c>
      <c r="F12">
        <v>110039.4</v>
      </c>
      <c r="G12">
        <v>0.13</v>
      </c>
      <c r="H12">
        <v>2819.51</v>
      </c>
      <c r="K12">
        <v>8</v>
      </c>
      <c r="L12" t="s">
        <v>470</v>
      </c>
      <c r="M12">
        <v>273.25</v>
      </c>
      <c r="N12">
        <v>75425.570000000007</v>
      </c>
      <c r="O12">
        <v>0.14000000000000001</v>
      </c>
      <c r="P12">
        <v>2551</v>
      </c>
      <c r="U12" t="s">
        <v>479</v>
      </c>
    </row>
    <row r="13" spans="3:27" x14ac:dyDescent="0.3">
      <c r="C13">
        <v>9</v>
      </c>
      <c r="D13" t="s">
        <v>452</v>
      </c>
      <c r="E13">
        <v>1385.7</v>
      </c>
      <c r="F13">
        <v>100789.01</v>
      </c>
      <c r="G13">
        <v>0.05</v>
      </c>
      <c r="H13">
        <v>413</v>
      </c>
      <c r="K13">
        <v>9</v>
      </c>
      <c r="L13" t="s">
        <v>471</v>
      </c>
      <c r="M13">
        <v>118.79</v>
      </c>
      <c r="N13">
        <v>55644.9</v>
      </c>
      <c r="O13">
        <v>0.27</v>
      </c>
      <c r="P13">
        <v>1987.98</v>
      </c>
      <c r="U13" t="s">
        <v>480</v>
      </c>
    </row>
    <row r="14" spans="3:27" x14ac:dyDescent="0.3">
      <c r="C14">
        <v>10</v>
      </c>
      <c r="D14" s="165" t="s">
        <v>234</v>
      </c>
      <c r="E14">
        <v>443.5</v>
      </c>
      <c r="F14">
        <v>78674.789999999994</v>
      </c>
      <c r="G14">
        <v>0.11</v>
      </c>
      <c r="H14">
        <v>1287.32</v>
      </c>
      <c r="K14">
        <v>10</v>
      </c>
      <c r="L14" t="s">
        <v>472</v>
      </c>
      <c r="M14">
        <v>132.75</v>
      </c>
      <c r="N14">
        <v>20472.45</v>
      </c>
      <c r="O14">
        <v>0.06</v>
      </c>
      <c r="P14">
        <v>135.79</v>
      </c>
      <c r="U14" t="s">
        <v>484</v>
      </c>
    </row>
    <row r="15" spans="3:27" x14ac:dyDescent="0.3">
      <c r="C15">
        <v>11</v>
      </c>
      <c r="D15" t="s">
        <v>453</v>
      </c>
      <c r="E15">
        <v>2052.4</v>
      </c>
      <c r="F15">
        <v>55822.33</v>
      </c>
      <c r="G15">
        <v>0.03</v>
      </c>
      <c r="H15">
        <v>47.41</v>
      </c>
      <c r="K15">
        <v>11</v>
      </c>
      <c r="L15" t="s">
        <v>473</v>
      </c>
      <c r="M15">
        <v>2809.9</v>
      </c>
      <c r="N15">
        <v>13493.99</v>
      </c>
      <c r="O15">
        <v>0.06</v>
      </c>
      <c r="P15">
        <v>140.43</v>
      </c>
      <c r="U15" t="s">
        <v>479</v>
      </c>
    </row>
    <row r="16" spans="3:27" x14ac:dyDescent="0.3">
      <c r="C16">
        <v>12</v>
      </c>
      <c r="D16" t="s">
        <v>454</v>
      </c>
      <c r="E16">
        <v>4073.7</v>
      </c>
      <c r="F16">
        <v>54580.41</v>
      </c>
      <c r="G16">
        <v>0.15</v>
      </c>
      <c r="H16">
        <v>498.44</v>
      </c>
      <c r="K16">
        <v>12</v>
      </c>
      <c r="L16" t="s">
        <v>474</v>
      </c>
      <c r="M16">
        <v>95.55</v>
      </c>
      <c r="N16">
        <v>11662.08</v>
      </c>
      <c r="O16">
        <v>2.14</v>
      </c>
      <c r="P16">
        <v>3018.1</v>
      </c>
      <c r="U16" t="s">
        <v>480</v>
      </c>
    </row>
    <row r="17" spans="3:21" x14ac:dyDescent="0.3">
      <c r="C17">
        <v>13</v>
      </c>
      <c r="D17" t="s">
        <v>455</v>
      </c>
      <c r="E17">
        <v>413.8</v>
      </c>
      <c r="F17">
        <v>45025.93</v>
      </c>
      <c r="G17">
        <v>0.21</v>
      </c>
      <c r="H17">
        <v>2788.83</v>
      </c>
      <c r="K17">
        <v>13</v>
      </c>
      <c r="L17" t="s">
        <v>475</v>
      </c>
      <c r="M17">
        <v>1924</v>
      </c>
      <c r="N17">
        <v>11571.54</v>
      </c>
      <c r="O17">
        <v>0.01</v>
      </c>
      <c r="P17">
        <v>23.1</v>
      </c>
      <c r="U17" t="s">
        <v>485</v>
      </c>
    </row>
    <row r="18" spans="3:21" x14ac:dyDescent="0.3">
      <c r="C18">
        <v>14</v>
      </c>
      <c r="D18" t="s">
        <v>456</v>
      </c>
      <c r="E18">
        <v>1329.3</v>
      </c>
      <c r="F18">
        <v>35147.379999999997</v>
      </c>
      <c r="G18">
        <v>0.28999999999999998</v>
      </c>
      <c r="H18">
        <v>1316.53</v>
      </c>
      <c r="K18">
        <v>14</v>
      </c>
      <c r="L18" t="s">
        <v>476</v>
      </c>
      <c r="M18">
        <v>212.25</v>
      </c>
      <c r="N18">
        <v>11081.32</v>
      </c>
      <c r="O18">
        <v>0.33</v>
      </c>
      <c r="P18">
        <v>1593.9</v>
      </c>
      <c r="U18" t="s">
        <v>486</v>
      </c>
    </row>
    <row r="19" spans="3:21" x14ac:dyDescent="0.3">
      <c r="C19">
        <v>15</v>
      </c>
      <c r="D19" t="s">
        <v>457</v>
      </c>
      <c r="E19">
        <v>2115.3000000000002</v>
      </c>
      <c r="F19">
        <v>32994.82</v>
      </c>
      <c r="G19">
        <v>0.04</v>
      </c>
      <c r="H19">
        <v>233.68</v>
      </c>
      <c r="K19">
        <v>15</v>
      </c>
      <c r="L19" t="s">
        <v>477</v>
      </c>
      <c r="M19">
        <v>826.1</v>
      </c>
      <c r="N19">
        <v>9924.52</v>
      </c>
      <c r="O19">
        <v>0.72</v>
      </c>
      <c r="P19">
        <v>1424.38</v>
      </c>
      <c r="U19" t="s">
        <v>479</v>
      </c>
    </row>
    <row r="20" spans="3:21" x14ac:dyDescent="0.3">
      <c r="U20" t="s">
        <v>480</v>
      </c>
    </row>
    <row r="21" spans="3:21" x14ac:dyDescent="0.3">
      <c r="U21" t="s">
        <v>487</v>
      </c>
    </row>
    <row r="22" spans="3:21" x14ac:dyDescent="0.3">
      <c r="U22" t="s">
        <v>479</v>
      </c>
    </row>
    <row r="23" spans="3:21" x14ac:dyDescent="0.3">
      <c r="D23" s="10" t="s">
        <v>489</v>
      </c>
      <c r="E23" s="10" t="s">
        <v>490</v>
      </c>
      <c r="U23" t="s">
        <v>480</v>
      </c>
    </row>
    <row r="24" spans="3:21" x14ac:dyDescent="0.3">
      <c r="D24" s="130" t="s">
        <v>491</v>
      </c>
      <c r="E24" s="130" t="s">
        <v>492</v>
      </c>
      <c r="U24" t="s">
        <v>488</v>
      </c>
    </row>
    <row r="25" spans="3:21" x14ac:dyDescent="0.3">
      <c r="D25" s="130" t="s">
        <v>493</v>
      </c>
      <c r="E25" s="130" t="s">
        <v>494</v>
      </c>
    </row>
    <row r="26" spans="3:21" x14ac:dyDescent="0.3">
      <c r="D26" s="130" t="s">
        <v>495</v>
      </c>
      <c r="E26" s="130" t="s">
        <v>496</v>
      </c>
    </row>
    <row r="27" spans="3:21" x14ac:dyDescent="0.3">
      <c r="D27" s="130" t="s">
        <v>497</v>
      </c>
      <c r="E27" s="130" t="s">
        <v>498</v>
      </c>
    </row>
    <row r="28" spans="3:21" x14ac:dyDescent="0.3">
      <c r="D28" s="130" t="s">
        <v>499</v>
      </c>
      <c r="E28" s="130" t="s">
        <v>500</v>
      </c>
    </row>
    <row r="29" spans="3:21" x14ac:dyDescent="0.3">
      <c r="D29" s="130" t="s">
        <v>501</v>
      </c>
      <c r="E29" s="130" t="s">
        <v>502</v>
      </c>
    </row>
    <row r="30" spans="3:21" x14ac:dyDescent="0.3">
      <c r="D30" s="130" t="s">
        <v>503</v>
      </c>
      <c r="E30" s="130" t="s">
        <v>504</v>
      </c>
    </row>
    <row r="31" spans="3:21" x14ac:dyDescent="0.3">
      <c r="D31" s="130" t="s">
        <v>505</v>
      </c>
      <c r="E31" s="130" t="s">
        <v>506</v>
      </c>
    </row>
    <row r="33" spans="4:4" x14ac:dyDescent="0.3">
      <c r="D33" s="20"/>
    </row>
  </sheetData>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72B5-8DF5-4850-A236-5E46960C5E9D}">
  <sheetPr>
    <tabColor rgb="FF002060"/>
  </sheetPr>
  <dimension ref="A1:Q88"/>
  <sheetViews>
    <sheetView showGridLines="0" workbookViewId="0">
      <pane xSplit="2" ySplit="3" topLeftCell="C52" activePane="bottomRight" state="frozen"/>
      <selection pane="topRight" activeCell="C1" sqref="C1"/>
      <selection pane="bottomLeft" activeCell="A4" sqref="A4"/>
      <selection pane="bottomRight" activeCell="C68" sqref="C68"/>
    </sheetView>
  </sheetViews>
  <sheetFormatPr defaultRowHeight="14.4" x14ac:dyDescent="0.3"/>
  <cols>
    <col min="1" max="1" width="1.88671875" customWidth="1"/>
    <col min="2" max="2" width="33.33203125" customWidth="1"/>
    <col min="3" max="14" width="10.77734375" customWidth="1"/>
  </cols>
  <sheetData>
    <row r="1" spans="1:14" ht="23.4" x14ac:dyDescent="0.45">
      <c r="B1" s="363" t="s">
        <v>571</v>
      </c>
      <c r="C1" s="363"/>
      <c r="D1" s="363"/>
      <c r="E1" s="363"/>
      <c r="F1" s="363"/>
      <c r="G1" s="363"/>
      <c r="H1" s="192"/>
    </row>
    <row r="3" spans="1:14" x14ac:dyDescent="0.3">
      <c r="A3" t="s">
        <v>55</v>
      </c>
      <c r="B3" s="185" t="s">
        <v>570</v>
      </c>
      <c r="C3" s="186">
        <v>42064</v>
      </c>
      <c r="D3" s="186">
        <v>42430</v>
      </c>
      <c r="E3" s="186">
        <v>42795</v>
      </c>
      <c r="F3" s="186">
        <v>43160</v>
      </c>
      <c r="G3" s="186">
        <v>43525</v>
      </c>
      <c r="H3" s="186">
        <v>43891</v>
      </c>
      <c r="I3" s="186">
        <v>44256</v>
      </c>
      <c r="J3" s="186">
        <v>44621</v>
      </c>
      <c r="K3" s="186">
        <v>44986</v>
      </c>
      <c r="L3" s="186">
        <v>45352</v>
      </c>
      <c r="M3" s="186">
        <v>45717</v>
      </c>
      <c r="N3" s="186">
        <v>46082</v>
      </c>
    </row>
    <row r="4" spans="1:14" x14ac:dyDescent="0.3">
      <c r="B4" t="s">
        <v>543</v>
      </c>
      <c r="C4" s="189">
        <v>80</v>
      </c>
      <c r="D4" s="189">
        <v>80</v>
      </c>
      <c r="E4" s="189">
        <v>80</v>
      </c>
      <c r="F4" s="189">
        <v>80</v>
      </c>
      <c r="G4" s="189">
        <v>80</v>
      </c>
      <c r="H4" s="189">
        <v>80</v>
      </c>
      <c r="I4" s="189">
        <v>80</v>
      </c>
      <c r="J4" s="189">
        <v>80</v>
      </c>
      <c r="K4" s="189">
        <v>159</v>
      </c>
      <c r="L4" s="189">
        <v>159</v>
      </c>
      <c r="M4" s="189">
        <v>160</v>
      </c>
      <c r="N4" s="189">
        <v>160</v>
      </c>
    </row>
    <row r="5" spans="1:14" x14ac:dyDescent="0.3">
      <c r="B5" t="s">
        <v>32</v>
      </c>
      <c r="C5" s="189">
        <v>11009</v>
      </c>
      <c r="D5" s="189">
        <v>13519</v>
      </c>
      <c r="E5" s="189">
        <v>16071</v>
      </c>
      <c r="F5" s="189">
        <v>20403</v>
      </c>
      <c r="G5" s="189">
        <v>23660</v>
      </c>
      <c r="H5" s="189">
        <v>31222</v>
      </c>
      <c r="I5" s="189">
        <v>35750</v>
      </c>
      <c r="J5" s="189">
        <v>40167</v>
      </c>
      <c r="K5" s="189">
        <v>46248</v>
      </c>
      <c r="L5" s="189">
        <v>60169</v>
      </c>
      <c r="M5" s="189">
        <v>72236</v>
      </c>
      <c r="N5" s="189">
        <v>77755</v>
      </c>
    </row>
    <row r="6" spans="1:14" x14ac:dyDescent="0.3">
      <c r="B6" s="26" t="s">
        <v>544</v>
      </c>
      <c r="C6" s="189"/>
      <c r="D6" s="189"/>
      <c r="E6" s="189"/>
      <c r="F6" s="189"/>
      <c r="G6" s="189"/>
      <c r="H6" s="189"/>
      <c r="I6" s="189"/>
      <c r="J6" s="189"/>
      <c r="K6" s="189"/>
      <c r="L6" s="189"/>
      <c r="M6" s="189"/>
      <c r="N6" s="189"/>
    </row>
    <row r="7" spans="1:14" x14ac:dyDescent="0.3">
      <c r="B7" t="s">
        <v>545</v>
      </c>
      <c r="C7" s="189">
        <v>17931</v>
      </c>
      <c r="D7" s="189">
        <v>24549</v>
      </c>
      <c r="E7" s="189">
        <v>32388</v>
      </c>
      <c r="F7" s="189">
        <v>58912</v>
      </c>
      <c r="G7" s="189">
        <v>87251</v>
      </c>
      <c r="H7" s="189">
        <v>0</v>
      </c>
      <c r="I7" s="189">
        <v>0</v>
      </c>
      <c r="J7" s="189">
        <v>0</v>
      </c>
      <c r="K7" s="189">
        <v>0</v>
      </c>
      <c r="L7" s="189">
        <v>0</v>
      </c>
      <c r="M7" s="189">
        <v>0</v>
      </c>
      <c r="N7" s="189">
        <v>0</v>
      </c>
    </row>
    <row r="8" spans="1:14" x14ac:dyDescent="0.3">
      <c r="B8" t="s">
        <v>546</v>
      </c>
      <c r="C8" s="189">
        <v>4278</v>
      </c>
      <c r="D8" s="189">
        <v>5538</v>
      </c>
      <c r="E8" s="189">
        <v>8897</v>
      </c>
      <c r="F8" s="189">
        <v>6783</v>
      </c>
      <c r="G8" s="189">
        <v>12503</v>
      </c>
      <c r="H8" s="189">
        <v>0</v>
      </c>
      <c r="I8" s="189">
        <v>0</v>
      </c>
      <c r="J8" s="189">
        <v>0</v>
      </c>
      <c r="K8" s="189">
        <v>0</v>
      </c>
      <c r="L8" s="189">
        <v>0</v>
      </c>
      <c r="M8" s="189">
        <v>0</v>
      </c>
      <c r="N8" s="189">
        <v>0</v>
      </c>
    </row>
    <row r="9" spans="1:14" x14ac:dyDescent="0.3">
      <c r="B9" t="s">
        <v>547</v>
      </c>
      <c r="C9" s="189">
        <v>4103</v>
      </c>
      <c r="D9" s="189">
        <v>5974</v>
      </c>
      <c r="E9" s="189">
        <v>6996</v>
      </c>
      <c r="F9" s="189">
        <v>0</v>
      </c>
      <c r="G9" s="189">
        <v>0</v>
      </c>
      <c r="H9" s="189">
        <v>127212</v>
      </c>
      <c r="I9" s="189">
        <v>128461</v>
      </c>
      <c r="J9" s="189">
        <v>161179</v>
      </c>
      <c r="K9" s="189">
        <v>212265</v>
      </c>
      <c r="L9" s="189">
        <v>288933</v>
      </c>
      <c r="M9" s="189">
        <v>355855</v>
      </c>
      <c r="N9" s="189">
        <v>429914</v>
      </c>
    </row>
    <row r="10" spans="1:14" x14ac:dyDescent="0.3">
      <c r="B10" s="26" t="s">
        <v>548</v>
      </c>
      <c r="C10" s="189"/>
      <c r="D10" s="189"/>
      <c r="E10" s="189"/>
      <c r="F10" s="189"/>
      <c r="G10" s="189"/>
      <c r="H10" s="189"/>
      <c r="I10" s="189"/>
      <c r="J10" s="189"/>
      <c r="K10" s="189"/>
      <c r="L10" s="189"/>
      <c r="M10" s="189"/>
      <c r="N10" s="189"/>
    </row>
    <row r="11" spans="1:14" x14ac:dyDescent="0.3">
      <c r="B11" t="s">
        <v>549</v>
      </c>
      <c r="C11" s="189">
        <v>4226</v>
      </c>
      <c r="D11" s="189">
        <v>5877</v>
      </c>
      <c r="E11" s="189">
        <v>7201</v>
      </c>
      <c r="F11" s="189">
        <v>10774</v>
      </c>
      <c r="G11" s="189">
        <v>12808</v>
      </c>
      <c r="H11" s="189">
        <v>19560</v>
      </c>
      <c r="I11" s="189">
        <v>22464</v>
      </c>
      <c r="J11" s="189">
        <v>26073</v>
      </c>
      <c r="K11" s="189">
        <v>31191</v>
      </c>
      <c r="L11" s="189">
        <v>43447</v>
      </c>
      <c r="M11" s="189">
        <v>56039</v>
      </c>
      <c r="N11" s="189">
        <v>63051</v>
      </c>
    </row>
    <row r="12" spans="1:14" x14ac:dyDescent="0.3">
      <c r="B12" t="s">
        <v>550</v>
      </c>
      <c r="C12" s="189">
        <v>5365</v>
      </c>
      <c r="D12" s="189">
        <v>5984</v>
      </c>
      <c r="E12" s="189">
        <v>7451</v>
      </c>
      <c r="F12" s="189">
        <v>2834</v>
      </c>
      <c r="G12" s="189">
        <v>1700</v>
      </c>
      <c r="H12" s="189">
        <v>1927</v>
      </c>
      <c r="I12" s="189">
        <v>4178</v>
      </c>
      <c r="J12" s="189">
        <v>4009</v>
      </c>
      <c r="K12" s="189">
        <v>5205</v>
      </c>
      <c r="L12" s="189">
        <v>6277</v>
      </c>
      <c r="M12" s="189">
        <v>7965</v>
      </c>
      <c r="N12" s="189">
        <v>9052</v>
      </c>
    </row>
    <row r="13" spans="1:14" x14ac:dyDescent="0.3">
      <c r="B13" t="s">
        <v>551</v>
      </c>
      <c r="C13" s="83">
        <v>41236</v>
      </c>
      <c r="D13" s="83">
        <v>42430</v>
      </c>
      <c r="E13" s="83">
        <v>49530</v>
      </c>
      <c r="F13" s="83">
        <v>61728</v>
      </c>
      <c r="G13" s="83">
        <v>70426</v>
      </c>
      <c r="H13" s="83">
        <v>71303</v>
      </c>
      <c r="I13" s="83">
        <v>88912</v>
      </c>
      <c r="J13" s="83">
        <v>101905</v>
      </c>
      <c r="K13" s="83">
        <v>110333</v>
      </c>
      <c r="L13" s="83">
        <v>138429</v>
      </c>
      <c r="M13" s="83">
        <v>159265</v>
      </c>
      <c r="N13" s="83">
        <v>178563</v>
      </c>
    </row>
    <row r="14" spans="1:14" x14ac:dyDescent="0.3">
      <c r="A14" t="s">
        <v>55</v>
      </c>
      <c r="B14" s="185" t="s">
        <v>552</v>
      </c>
      <c r="C14" s="188">
        <v>88228</v>
      </c>
      <c r="D14" s="188">
        <v>103951</v>
      </c>
      <c r="E14" s="188">
        <v>128614</v>
      </c>
      <c r="F14" s="188">
        <v>161514</v>
      </c>
      <c r="G14" s="188">
        <v>208428</v>
      </c>
      <c r="H14" s="188">
        <v>251304</v>
      </c>
      <c r="I14" s="188">
        <v>279845</v>
      </c>
      <c r="J14" s="188">
        <v>333413</v>
      </c>
      <c r="K14" s="188">
        <v>405401</v>
      </c>
      <c r="L14" s="188">
        <v>537415</v>
      </c>
      <c r="M14" s="188">
        <v>651519</v>
      </c>
      <c r="N14" s="188">
        <v>758495</v>
      </c>
    </row>
    <row r="15" spans="1:14" x14ac:dyDescent="0.3">
      <c r="B15" s="26"/>
      <c r="C15" s="187"/>
      <c r="D15" s="187"/>
      <c r="E15" s="187"/>
      <c r="F15" s="187"/>
      <c r="G15" s="187"/>
      <c r="H15" s="187"/>
      <c r="I15" s="187"/>
      <c r="J15" s="187"/>
      <c r="K15" s="187"/>
      <c r="L15" s="187"/>
      <c r="M15" s="187"/>
      <c r="N15" s="187"/>
    </row>
    <row r="16" spans="1:14" x14ac:dyDescent="0.3">
      <c r="B16" s="26" t="s">
        <v>553</v>
      </c>
      <c r="C16" s="83"/>
      <c r="D16" s="83"/>
      <c r="E16" s="83"/>
      <c r="F16" s="83"/>
      <c r="G16" s="83"/>
      <c r="H16" s="83"/>
      <c r="I16" s="83"/>
      <c r="J16" s="83"/>
      <c r="K16" s="83"/>
      <c r="L16" s="83"/>
      <c r="M16" s="83"/>
      <c r="N16" s="83"/>
    </row>
    <row r="17" spans="1:17" x14ac:dyDescent="0.3">
      <c r="B17" t="s">
        <v>554</v>
      </c>
      <c r="C17" s="189">
        <v>23</v>
      </c>
      <c r="D17" s="189">
        <v>31</v>
      </c>
      <c r="E17" s="189">
        <v>31</v>
      </c>
      <c r="F17" s="189">
        <v>30</v>
      </c>
      <c r="G17" s="189">
        <v>30</v>
      </c>
      <c r="H17" s="189">
        <v>312</v>
      </c>
      <c r="I17" s="189">
        <v>325</v>
      </c>
      <c r="J17" s="189">
        <v>476</v>
      </c>
      <c r="K17" s="189">
        <v>673</v>
      </c>
      <c r="L17" s="189">
        <v>674</v>
      </c>
      <c r="M17" s="189">
        <v>675</v>
      </c>
      <c r="N17" s="189">
        <v>675</v>
      </c>
    </row>
    <row r="18" spans="1:17" x14ac:dyDescent="0.3">
      <c r="B18" t="s">
        <v>555</v>
      </c>
      <c r="C18" s="189">
        <v>763</v>
      </c>
      <c r="D18" s="189">
        <v>760</v>
      </c>
      <c r="E18" s="189">
        <v>755</v>
      </c>
      <c r="F18" s="189">
        <v>767</v>
      </c>
      <c r="G18" s="189">
        <v>876</v>
      </c>
      <c r="H18" s="189">
        <v>1005</v>
      </c>
      <c r="I18" s="189">
        <v>1020</v>
      </c>
      <c r="J18" s="189">
        <v>1065</v>
      </c>
      <c r="K18" s="189">
        <v>1090</v>
      </c>
      <c r="L18" s="189">
        <v>1140</v>
      </c>
      <c r="M18" s="189">
        <v>1153</v>
      </c>
      <c r="N18" s="189">
        <v>1188</v>
      </c>
    </row>
    <row r="19" spans="1:17" x14ac:dyDescent="0.3">
      <c r="B19" t="s">
        <v>556</v>
      </c>
      <c r="C19" s="189">
        <v>80</v>
      </c>
      <c r="D19" s="189">
        <v>91</v>
      </c>
      <c r="E19" s="189">
        <v>108</v>
      </c>
      <c r="F19" s="189">
        <v>141</v>
      </c>
      <c r="G19" s="189">
        <v>202</v>
      </c>
      <c r="H19" s="189">
        <v>269</v>
      </c>
      <c r="I19" s="189">
        <v>264</v>
      </c>
      <c r="J19" s="189">
        <v>272</v>
      </c>
      <c r="K19" s="189">
        <v>320</v>
      </c>
      <c r="L19" s="189">
        <v>352</v>
      </c>
      <c r="M19" s="189">
        <v>446</v>
      </c>
      <c r="N19" s="189">
        <v>492</v>
      </c>
    </row>
    <row r="20" spans="1:17" x14ac:dyDescent="0.3">
      <c r="B20" t="s">
        <v>557</v>
      </c>
      <c r="C20" s="189">
        <v>267</v>
      </c>
      <c r="D20" s="189">
        <v>293</v>
      </c>
      <c r="E20" s="189">
        <v>343</v>
      </c>
      <c r="F20" s="189">
        <v>321</v>
      </c>
      <c r="G20" s="189">
        <v>363</v>
      </c>
      <c r="H20" s="189">
        <v>451</v>
      </c>
      <c r="I20" s="189">
        <v>465</v>
      </c>
      <c r="J20" s="189">
        <v>546</v>
      </c>
      <c r="K20" s="189">
        <v>702</v>
      </c>
      <c r="L20" s="189">
        <v>978</v>
      </c>
      <c r="M20" s="189">
        <v>1043</v>
      </c>
      <c r="N20" s="189">
        <v>1155</v>
      </c>
    </row>
    <row r="21" spans="1:17" x14ac:dyDescent="0.3">
      <c r="B21" t="s">
        <v>558</v>
      </c>
      <c r="C21" s="189">
        <v>132</v>
      </c>
      <c r="D21" s="189">
        <v>141</v>
      </c>
      <c r="E21" s="189">
        <v>171</v>
      </c>
      <c r="F21" s="189">
        <v>222</v>
      </c>
      <c r="G21" s="189">
        <v>281</v>
      </c>
      <c r="H21" s="189">
        <v>342</v>
      </c>
      <c r="I21" s="189">
        <v>335</v>
      </c>
      <c r="J21" s="189">
        <v>308</v>
      </c>
      <c r="K21" s="189">
        <v>342</v>
      </c>
      <c r="L21" s="189">
        <v>461</v>
      </c>
      <c r="M21" s="189">
        <v>486</v>
      </c>
      <c r="N21" s="189">
        <v>535</v>
      </c>
    </row>
    <row r="22" spans="1:17" x14ac:dyDescent="0.3">
      <c r="B22" t="s">
        <v>559</v>
      </c>
      <c r="C22" s="189">
        <v>18</v>
      </c>
      <c r="D22" s="189">
        <v>25</v>
      </c>
      <c r="E22" s="189">
        <v>35</v>
      </c>
      <c r="F22" s="189">
        <v>52</v>
      </c>
      <c r="G22" s="189">
        <v>71</v>
      </c>
      <c r="H22" s="189">
        <v>109</v>
      </c>
      <c r="I22" s="189">
        <v>129</v>
      </c>
      <c r="J22" s="189">
        <v>187</v>
      </c>
      <c r="K22" s="189">
        <v>302</v>
      </c>
      <c r="L22" s="189">
        <v>464</v>
      </c>
      <c r="M22" s="189">
        <v>641</v>
      </c>
      <c r="N22" s="189">
        <v>754</v>
      </c>
    </row>
    <row r="23" spans="1:17" x14ac:dyDescent="0.3">
      <c r="B23" t="s">
        <v>560</v>
      </c>
      <c r="C23" s="189">
        <v>429</v>
      </c>
      <c r="D23" s="189">
        <v>429</v>
      </c>
      <c r="E23" s="189">
        <v>689</v>
      </c>
      <c r="F23" s="189">
        <v>689</v>
      </c>
      <c r="G23" s="189">
        <v>689</v>
      </c>
      <c r="H23" s="189">
        <v>689</v>
      </c>
      <c r="I23" s="189">
        <v>689</v>
      </c>
      <c r="J23" s="189">
        <v>689</v>
      </c>
      <c r="K23" s="189">
        <v>689</v>
      </c>
      <c r="L23" s="189">
        <v>689</v>
      </c>
      <c r="M23" s="189">
        <v>803</v>
      </c>
      <c r="N23" s="189">
        <v>803</v>
      </c>
    </row>
    <row r="24" spans="1:17" x14ac:dyDescent="0.3">
      <c r="B24" t="s">
        <v>561</v>
      </c>
      <c r="C24" s="189">
        <v>366</v>
      </c>
      <c r="D24" s="189">
        <v>376</v>
      </c>
      <c r="E24" s="189">
        <v>477</v>
      </c>
      <c r="F24" s="189">
        <v>592</v>
      </c>
      <c r="G24" s="189">
        <v>745</v>
      </c>
      <c r="H24" s="189">
        <v>1612</v>
      </c>
      <c r="I24" s="189">
        <v>1887</v>
      </c>
      <c r="J24" s="189">
        <v>2276</v>
      </c>
      <c r="K24" s="189">
        <v>2931</v>
      </c>
      <c r="L24" s="189">
        <v>4078</v>
      </c>
      <c r="M24" s="189">
        <v>4988</v>
      </c>
      <c r="N24" s="189">
        <v>5977</v>
      </c>
    </row>
    <row r="25" spans="1:17" x14ac:dyDescent="0.3">
      <c r="B25" s="26" t="s">
        <v>562</v>
      </c>
      <c r="C25" s="83">
        <v>2077</v>
      </c>
      <c r="D25" s="83">
        <v>2146</v>
      </c>
      <c r="E25" s="83">
        <v>2608</v>
      </c>
      <c r="F25" s="83">
        <v>2816</v>
      </c>
      <c r="G25" s="83">
        <v>3258</v>
      </c>
      <c r="H25" s="83">
        <v>4789</v>
      </c>
      <c r="I25" s="83">
        <v>5115</v>
      </c>
      <c r="J25" s="83">
        <v>5819</v>
      </c>
      <c r="K25" s="83">
        <v>7048</v>
      </c>
      <c r="L25" s="83">
        <v>8837</v>
      </c>
      <c r="M25" s="83">
        <v>10235</v>
      </c>
      <c r="N25" s="83">
        <v>11579</v>
      </c>
      <c r="Q25" t="s">
        <v>569</v>
      </c>
    </row>
    <row r="26" spans="1:17" x14ac:dyDescent="0.3">
      <c r="A26" t="s">
        <v>55</v>
      </c>
      <c r="B26" s="26" t="s">
        <v>563</v>
      </c>
      <c r="C26">
        <v>816</v>
      </c>
      <c r="D26">
        <v>872</v>
      </c>
      <c r="E26">
        <v>963</v>
      </c>
      <c r="F26" s="83">
        <v>1024</v>
      </c>
      <c r="G26" s="83">
        <v>1161</v>
      </c>
      <c r="H26" s="83">
        <v>1573</v>
      </c>
      <c r="I26" s="83">
        <v>1933</v>
      </c>
      <c r="J26" s="83">
        <v>2234</v>
      </c>
      <c r="K26" s="83">
        <v>2712</v>
      </c>
      <c r="L26" s="83">
        <v>3381</v>
      </c>
      <c r="M26" s="83">
        <v>3938</v>
      </c>
      <c r="N26" s="83">
        <v>4850</v>
      </c>
    </row>
    <row r="27" spans="1:17" x14ac:dyDescent="0.3">
      <c r="B27" s="190" t="s">
        <v>36</v>
      </c>
      <c r="C27" s="191">
        <f>C25-C26</f>
        <v>1261</v>
      </c>
      <c r="D27" s="191">
        <f t="shared" ref="D27:N27" si="0">D25-D26</f>
        <v>1274</v>
      </c>
      <c r="E27" s="191">
        <f t="shared" si="0"/>
        <v>1645</v>
      </c>
      <c r="F27" s="191">
        <f t="shared" si="0"/>
        <v>1792</v>
      </c>
      <c r="G27" s="191">
        <f t="shared" si="0"/>
        <v>2097</v>
      </c>
      <c r="H27" s="191">
        <f t="shared" si="0"/>
        <v>3216</v>
      </c>
      <c r="I27" s="191">
        <f t="shared" si="0"/>
        <v>3182</v>
      </c>
      <c r="J27" s="191">
        <f t="shared" si="0"/>
        <v>3585</v>
      </c>
      <c r="K27" s="191">
        <f t="shared" si="0"/>
        <v>4336</v>
      </c>
      <c r="L27" s="191">
        <f t="shared" si="0"/>
        <v>5456</v>
      </c>
      <c r="M27" s="191">
        <f t="shared" si="0"/>
        <v>6297</v>
      </c>
      <c r="N27" s="191">
        <f t="shared" si="0"/>
        <v>6729</v>
      </c>
    </row>
    <row r="28" spans="1:17" x14ac:dyDescent="0.3">
      <c r="B28" s="26"/>
      <c r="C28" s="83"/>
      <c r="D28" s="83"/>
      <c r="E28" s="83"/>
      <c r="F28" s="83"/>
      <c r="G28" s="83"/>
      <c r="H28" s="83"/>
      <c r="I28" s="83"/>
      <c r="J28" s="83"/>
      <c r="K28" s="83"/>
      <c r="L28" s="83"/>
      <c r="M28" s="83"/>
      <c r="N28" s="83"/>
    </row>
    <row r="29" spans="1:17" x14ac:dyDescent="0.3">
      <c r="B29" t="s">
        <v>564</v>
      </c>
      <c r="C29" s="189">
        <v>3</v>
      </c>
      <c r="D29" s="189">
        <v>11</v>
      </c>
      <c r="E29" s="189">
        <v>4</v>
      </c>
      <c r="F29" s="189">
        <v>28</v>
      </c>
      <c r="G29" s="189">
        <v>66</v>
      </c>
      <c r="H29" s="189">
        <v>45</v>
      </c>
      <c r="I29" s="189">
        <v>129</v>
      </c>
      <c r="J29" s="189">
        <v>113</v>
      </c>
      <c r="K29" s="189">
        <v>191</v>
      </c>
      <c r="L29" s="189">
        <v>220</v>
      </c>
      <c r="M29" s="189">
        <v>314</v>
      </c>
      <c r="N29" s="189">
        <v>321</v>
      </c>
    </row>
    <row r="30" spans="1:17" x14ac:dyDescent="0.3">
      <c r="B30" t="s">
        <v>38</v>
      </c>
      <c r="C30" s="189">
        <v>51367</v>
      </c>
      <c r="D30" s="189">
        <v>53698</v>
      </c>
      <c r="E30" s="189">
        <v>62658</v>
      </c>
      <c r="F30" s="189">
        <v>69428</v>
      </c>
      <c r="G30" s="189">
        <v>81679</v>
      </c>
      <c r="H30" s="189">
        <v>91821</v>
      </c>
      <c r="I30" s="189">
        <v>113654</v>
      </c>
      <c r="J30" s="189">
        <v>119222</v>
      </c>
      <c r="K30" s="189">
        <v>136176</v>
      </c>
      <c r="L30" s="189">
        <v>170127</v>
      </c>
      <c r="M30" s="189">
        <v>190130</v>
      </c>
      <c r="N30" s="189">
        <v>194414</v>
      </c>
    </row>
    <row r="31" spans="1:17" x14ac:dyDescent="0.3">
      <c r="C31" s="83"/>
      <c r="D31" s="83"/>
      <c r="E31" s="83"/>
      <c r="F31" s="83"/>
      <c r="G31" s="83"/>
      <c r="H31" s="83"/>
      <c r="I31" s="83"/>
      <c r="J31" s="83"/>
      <c r="K31" s="83"/>
      <c r="L31" s="83"/>
      <c r="M31" s="83"/>
      <c r="N31" s="83"/>
    </row>
    <row r="32" spans="1:17" x14ac:dyDescent="0.3">
      <c r="B32" s="26" t="s">
        <v>565</v>
      </c>
      <c r="C32" s="83"/>
      <c r="D32" s="83"/>
      <c r="E32" s="83"/>
      <c r="F32" s="83"/>
      <c r="G32" s="83"/>
      <c r="H32" s="83"/>
      <c r="I32" s="83"/>
      <c r="J32" s="83"/>
      <c r="K32" s="83"/>
      <c r="L32" s="83"/>
      <c r="M32" s="83"/>
      <c r="N32" s="83"/>
    </row>
    <row r="33" spans="1:14" x14ac:dyDescent="0.3">
      <c r="B33" t="s">
        <v>576</v>
      </c>
      <c r="C33" s="189">
        <v>541</v>
      </c>
      <c r="D33" s="189">
        <v>681</v>
      </c>
      <c r="E33" s="189">
        <v>1253</v>
      </c>
      <c r="F33" s="189">
        <v>1753</v>
      </c>
      <c r="G33" s="189">
        <v>2273</v>
      </c>
      <c r="H33" s="189">
        <v>2658</v>
      </c>
      <c r="I33" s="189">
        <v>2753</v>
      </c>
      <c r="J33" s="189">
        <v>3005</v>
      </c>
      <c r="K33" s="189">
        <v>3459</v>
      </c>
      <c r="L33" s="189">
        <v>5974</v>
      </c>
      <c r="M33" s="189">
        <v>8319</v>
      </c>
      <c r="N33" s="189">
        <v>9332</v>
      </c>
    </row>
    <row r="34" spans="1:14" x14ac:dyDescent="0.3">
      <c r="B34" t="s">
        <v>566</v>
      </c>
      <c r="C34" s="189">
        <v>1409</v>
      </c>
      <c r="D34" s="189">
        <v>2168</v>
      </c>
      <c r="E34" s="189">
        <v>1499</v>
      </c>
      <c r="F34" s="189">
        <v>1606</v>
      </c>
      <c r="G34" s="189">
        <v>1589</v>
      </c>
      <c r="H34" s="189">
        <v>2525</v>
      </c>
      <c r="I34" s="189">
        <v>3410</v>
      </c>
      <c r="J34" s="189">
        <v>4403</v>
      </c>
      <c r="K34" s="189">
        <v>5377</v>
      </c>
      <c r="L34" s="189">
        <v>12387</v>
      </c>
      <c r="M34" s="189">
        <v>15737</v>
      </c>
      <c r="N34" s="189">
        <v>17618</v>
      </c>
    </row>
    <row r="35" spans="1:14" x14ac:dyDescent="0.3">
      <c r="B35" t="s">
        <v>567</v>
      </c>
      <c r="C35" s="189">
        <v>13345</v>
      </c>
      <c r="D35" s="189">
        <v>18897</v>
      </c>
      <c r="E35" s="189">
        <v>26232</v>
      </c>
      <c r="F35" s="189">
        <v>142</v>
      </c>
      <c r="G35" s="189">
        <v>295</v>
      </c>
      <c r="H35" s="189">
        <v>635</v>
      </c>
      <c r="I35" s="189">
        <v>604</v>
      </c>
      <c r="J35" s="189">
        <v>721</v>
      </c>
      <c r="K35" s="189">
        <v>318</v>
      </c>
      <c r="L35" s="189">
        <v>436</v>
      </c>
      <c r="M35" s="189">
        <v>676</v>
      </c>
      <c r="N35" s="189">
        <v>419</v>
      </c>
    </row>
    <row r="36" spans="1:14" x14ac:dyDescent="0.3">
      <c r="B36" t="s">
        <v>568</v>
      </c>
      <c r="C36" s="189">
        <v>20303</v>
      </c>
      <c r="D36" s="189">
        <v>27223</v>
      </c>
      <c r="E36" s="189">
        <v>35322</v>
      </c>
      <c r="F36" s="189">
        <v>86764</v>
      </c>
      <c r="G36" s="189">
        <v>120429</v>
      </c>
      <c r="H36" s="189">
        <v>150404</v>
      </c>
      <c r="I36" s="189">
        <v>156112</v>
      </c>
      <c r="J36" s="189">
        <v>202364</v>
      </c>
      <c r="K36" s="189">
        <v>255544</v>
      </c>
      <c r="L36" s="189">
        <v>342817</v>
      </c>
      <c r="M36" s="189">
        <v>430046</v>
      </c>
      <c r="N36" s="189">
        <v>529662</v>
      </c>
    </row>
    <row r="38" spans="1:14" x14ac:dyDescent="0.3">
      <c r="A38" t="s">
        <v>55</v>
      </c>
      <c r="B38" s="185" t="s">
        <v>83</v>
      </c>
      <c r="C38" s="188">
        <v>88228</v>
      </c>
      <c r="D38" s="188">
        <v>103951</v>
      </c>
      <c r="E38" s="188">
        <v>128614</v>
      </c>
      <c r="F38" s="188">
        <v>161514</v>
      </c>
      <c r="G38" s="188">
        <v>208428</v>
      </c>
      <c r="H38" s="188">
        <v>251304</v>
      </c>
      <c r="I38" s="188">
        <v>279845</v>
      </c>
      <c r="J38" s="188">
        <v>333413</v>
      </c>
      <c r="K38" s="188">
        <v>405401</v>
      </c>
      <c r="L38" s="188">
        <v>537415</v>
      </c>
      <c r="M38" s="188">
        <v>651519</v>
      </c>
      <c r="N38" s="188">
        <v>758495</v>
      </c>
    </row>
    <row r="41" spans="1:14" x14ac:dyDescent="0.3">
      <c r="B41" t="s">
        <v>595</v>
      </c>
    </row>
    <row r="42" spans="1:14" x14ac:dyDescent="0.3">
      <c r="A42" t="s">
        <v>55</v>
      </c>
      <c r="B42" s="193" t="s">
        <v>594</v>
      </c>
      <c r="C42" s="195">
        <v>42064</v>
      </c>
      <c r="D42" s="195">
        <v>42430</v>
      </c>
      <c r="E42" s="195">
        <v>42795</v>
      </c>
      <c r="F42" s="195">
        <v>43160</v>
      </c>
      <c r="G42" s="195">
        <v>43525</v>
      </c>
      <c r="H42" s="195">
        <v>43891</v>
      </c>
      <c r="I42" s="199">
        <v>44256</v>
      </c>
      <c r="J42" s="195">
        <v>44621</v>
      </c>
      <c r="K42" s="195">
        <v>44986</v>
      </c>
      <c r="L42" s="195">
        <v>45352</v>
      </c>
      <c r="M42" s="195">
        <v>45717</v>
      </c>
      <c r="N42" s="195">
        <v>46082</v>
      </c>
    </row>
    <row r="43" spans="1:14" x14ac:dyDescent="0.3">
      <c r="B43" t="s">
        <v>590</v>
      </c>
      <c r="C43" s="83">
        <v>11335</v>
      </c>
      <c r="D43" s="83">
        <v>20533</v>
      </c>
      <c r="E43" s="83">
        <v>24507</v>
      </c>
      <c r="F43" s="83">
        <v>32862</v>
      </c>
      <c r="G43" s="83">
        <v>42605</v>
      </c>
      <c r="H43" s="83">
        <v>54351</v>
      </c>
      <c r="I43" s="200">
        <v>60592</v>
      </c>
      <c r="J43" s="83">
        <v>68406</v>
      </c>
      <c r="K43" s="83">
        <v>82072</v>
      </c>
      <c r="L43" s="83">
        <v>110382</v>
      </c>
      <c r="M43" s="83">
        <v>132944</v>
      </c>
      <c r="N43" s="83">
        <v>150530</v>
      </c>
    </row>
    <row r="44" spans="1:14" x14ac:dyDescent="0.3">
      <c r="B44" t="s">
        <v>591</v>
      </c>
      <c r="C44" s="83">
        <v>5823</v>
      </c>
      <c r="D44" s="83">
        <v>13795</v>
      </c>
      <c r="E44" s="83">
        <v>15794</v>
      </c>
      <c r="F44" s="83">
        <v>22074</v>
      </c>
      <c r="G44" s="83">
        <v>27569</v>
      </c>
      <c r="H44" s="83">
        <v>36094</v>
      </c>
      <c r="I44" s="200">
        <v>40950</v>
      </c>
      <c r="J44" s="83">
        <v>46951</v>
      </c>
      <c r="K44" s="83">
        <v>52204</v>
      </c>
      <c r="L44" s="83">
        <v>69497</v>
      </c>
      <c r="M44" s="83">
        <v>83420</v>
      </c>
      <c r="N44" s="83">
        <v>93433</v>
      </c>
    </row>
    <row r="45" spans="1:14" x14ac:dyDescent="0.3">
      <c r="B45" t="s">
        <v>593</v>
      </c>
      <c r="C45" s="83">
        <f>C43-C44</f>
        <v>5512</v>
      </c>
      <c r="D45" s="83">
        <f t="shared" ref="D45:N45" si="1">D43-D44</f>
        <v>6738</v>
      </c>
      <c r="E45" s="83">
        <f t="shared" si="1"/>
        <v>8713</v>
      </c>
      <c r="F45" s="83">
        <f t="shared" si="1"/>
        <v>10788</v>
      </c>
      <c r="G45" s="83">
        <f t="shared" si="1"/>
        <v>15036</v>
      </c>
      <c r="H45" s="83">
        <f t="shared" si="1"/>
        <v>18257</v>
      </c>
      <c r="I45" s="200">
        <f t="shared" si="1"/>
        <v>19642</v>
      </c>
      <c r="J45" s="83">
        <f t="shared" si="1"/>
        <v>21455</v>
      </c>
      <c r="K45" s="83">
        <f t="shared" si="1"/>
        <v>29868</v>
      </c>
      <c r="L45" s="83">
        <f t="shared" si="1"/>
        <v>40885</v>
      </c>
      <c r="M45" s="83">
        <f t="shared" si="1"/>
        <v>49524</v>
      </c>
      <c r="N45" s="83">
        <f t="shared" si="1"/>
        <v>57097</v>
      </c>
    </row>
    <row r="46" spans="1:14" x14ac:dyDescent="0.3">
      <c r="B46" t="s">
        <v>592</v>
      </c>
      <c r="C46">
        <v>8</v>
      </c>
      <c r="D46">
        <v>0</v>
      </c>
      <c r="E46">
        <v>0</v>
      </c>
      <c r="F46">
        <v>1</v>
      </c>
      <c r="G46">
        <v>2</v>
      </c>
      <c r="H46">
        <v>0</v>
      </c>
      <c r="I46" s="154">
        <v>-7</v>
      </c>
      <c r="J46">
        <v>8</v>
      </c>
      <c r="K46">
        <v>1</v>
      </c>
      <c r="L46">
        <v>-4</v>
      </c>
      <c r="M46">
        <v>-18</v>
      </c>
      <c r="N46">
        <v>-382</v>
      </c>
    </row>
    <row r="47" spans="1:14" x14ac:dyDescent="0.3">
      <c r="B47" s="26" t="s">
        <v>63</v>
      </c>
      <c r="C47" s="187">
        <f>C45+C46</f>
        <v>5520</v>
      </c>
      <c r="D47" s="187">
        <f t="shared" ref="D47:N47" si="2">D45+D46</f>
        <v>6738</v>
      </c>
      <c r="E47" s="187">
        <f t="shared" si="2"/>
        <v>8713</v>
      </c>
      <c r="F47" s="187">
        <f t="shared" si="2"/>
        <v>10789</v>
      </c>
      <c r="G47" s="187">
        <f t="shared" si="2"/>
        <v>15038</v>
      </c>
      <c r="H47" s="187">
        <f t="shared" si="2"/>
        <v>18257</v>
      </c>
      <c r="I47" s="201">
        <f t="shared" si="2"/>
        <v>19635</v>
      </c>
      <c r="J47" s="187">
        <f t="shared" si="2"/>
        <v>21463</v>
      </c>
      <c r="K47" s="187">
        <f t="shared" si="2"/>
        <v>29869</v>
      </c>
      <c r="L47" s="187">
        <f t="shared" si="2"/>
        <v>40881</v>
      </c>
      <c r="M47" s="187">
        <f t="shared" si="2"/>
        <v>49506</v>
      </c>
      <c r="N47" s="187">
        <f t="shared" si="2"/>
        <v>56715</v>
      </c>
    </row>
    <row r="48" spans="1:14" x14ac:dyDescent="0.3">
      <c r="B48" t="s">
        <v>21</v>
      </c>
      <c r="C48">
        <v>38</v>
      </c>
      <c r="D48">
        <v>58</v>
      </c>
      <c r="E48">
        <v>73</v>
      </c>
      <c r="F48">
        <v>160</v>
      </c>
      <c r="G48">
        <v>226</v>
      </c>
      <c r="H48">
        <v>457</v>
      </c>
      <c r="I48" s="154">
        <v>498</v>
      </c>
      <c r="J48">
        <v>563</v>
      </c>
      <c r="K48">
        <v>678</v>
      </c>
      <c r="L48">
        <v>900</v>
      </c>
      <c r="M48" s="83">
        <v>1170</v>
      </c>
      <c r="N48" s="83">
        <v>1291</v>
      </c>
    </row>
    <row r="49" spans="1:14" x14ac:dyDescent="0.3">
      <c r="B49" s="193" t="s">
        <v>315</v>
      </c>
      <c r="C49" s="197">
        <f>C47-C48</f>
        <v>5482</v>
      </c>
      <c r="D49" s="197">
        <f t="shared" ref="D49:N49" si="3">D47-D48</f>
        <v>6680</v>
      </c>
      <c r="E49" s="197">
        <f t="shared" si="3"/>
        <v>8640</v>
      </c>
      <c r="F49" s="197">
        <f t="shared" si="3"/>
        <v>10629</v>
      </c>
      <c r="G49" s="197">
        <f t="shared" si="3"/>
        <v>14812</v>
      </c>
      <c r="H49" s="197">
        <f t="shared" si="3"/>
        <v>17800</v>
      </c>
      <c r="I49" s="201">
        <f t="shared" si="3"/>
        <v>19137</v>
      </c>
      <c r="J49" s="197">
        <f t="shared" si="3"/>
        <v>20900</v>
      </c>
      <c r="K49" s="197">
        <f t="shared" si="3"/>
        <v>29191</v>
      </c>
      <c r="L49" s="197">
        <f t="shared" si="3"/>
        <v>39981</v>
      </c>
      <c r="M49" s="197">
        <f t="shared" si="3"/>
        <v>48336</v>
      </c>
      <c r="N49" s="197">
        <f t="shared" si="3"/>
        <v>55424</v>
      </c>
    </row>
    <row r="50" spans="1:14" x14ac:dyDescent="0.3">
      <c r="B50" t="s">
        <v>22</v>
      </c>
      <c r="C50" s="83">
        <v>2230</v>
      </c>
      <c r="D50" s="83">
        <v>2877</v>
      </c>
      <c r="E50" s="83">
        <v>3716</v>
      </c>
      <c r="F50" s="83">
        <v>4531</v>
      </c>
      <c r="G50" s="83">
        <v>6657</v>
      </c>
      <c r="H50" s="83">
        <v>9500</v>
      </c>
      <c r="I50" s="200">
        <v>9274</v>
      </c>
      <c r="J50" s="83">
        <v>9629</v>
      </c>
      <c r="K50" s="83">
        <v>12380</v>
      </c>
      <c r="L50" s="83">
        <v>18607</v>
      </c>
      <c r="M50" s="83">
        <v>24587</v>
      </c>
      <c r="N50" s="83">
        <v>28541</v>
      </c>
    </row>
    <row r="51" spans="1:14" x14ac:dyDescent="0.3">
      <c r="B51" s="26" t="s">
        <v>212</v>
      </c>
      <c r="C51" s="83">
        <f>C49-C50</f>
        <v>3252</v>
      </c>
      <c r="D51" s="83">
        <f t="shared" ref="D51:N51" si="4">D49-D50</f>
        <v>3803</v>
      </c>
      <c r="E51" s="83">
        <f t="shared" si="4"/>
        <v>4924</v>
      </c>
      <c r="F51" s="83">
        <f t="shared" si="4"/>
        <v>6098</v>
      </c>
      <c r="G51" s="83">
        <f t="shared" si="4"/>
        <v>8155</v>
      </c>
      <c r="H51" s="83">
        <f t="shared" si="4"/>
        <v>8300</v>
      </c>
      <c r="I51" s="200">
        <f t="shared" si="4"/>
        <v>9863</v>
      </c>
      <c r="J51" s="83">
        <f t="shared" si="4"/>
        <v>11271</v>
      </c>
      <c r="K51" s="83">
        <f t="shared" si="4"/>
        <v>16811</v>
      </c>
      <c r="L51" s="83">
        <f t="shared" si="4"/>
        <v>21374</v>
      </c>
      <c r="M51" s="83">
        <f t="shared" si="4"/>
        <v>23749</v>
      </c>
      <c r="N51" s="83">
        <f t="shared" si="4"/>
        <v>26883</v>
      </c>
    </row>
    <row r="52" spans="1:14" x14ac:dyDescent="0.3">
      <c r="B52" t="s">
        <v>23</v>
      </c>
      <c r="C52" s="83">
        <v>3251</v>
      </c>
      <c r="D52" s="83">
        <v>3804</v>
      </c>
      <c r="E52" s="83">
        <v>4925</v>
      </c>
      <c r="F52" s="83">
        <v>6099</v>
      </c>
      <c r="G52" s="83">
        <v>8155</v>
      </c>
      <c r="H52" s="83">
        <v>8302</v>
      </c>
      <c r="I52" s="200">
        <v>9862</v>
      </c>
      <c r="J52" s="83">
        <v>11271</v>
      </c>
      <c r="K52" s="83">
        <v>16811</v>
      </c>
      <c r="L52" s="83">
        <v>21375</v>
      </c>
      <c r="M52" s="83">
        <v>23748</v>
      </c>
      <c r="N52" s="83">
        <v>26883</v>
      </c>
    </row>
    <row r="55" spans="1:14" x14ac:dyDescent="0.3">
      <c r="A55" s="26" t="s">
        <v>55</v>
      </c>
      <c r="B55" s="193" t="s">
        <v>570</v>
      </c>
      <c r="C55" s="195">
        <v>42064</v>
      </c>
      <c r="D55" s="195">
        <v>42430</v>
      </c>
      <c r="E55" s="195">
        <v>42795</v>
      </c>
      <c r="F55" s="195">
        <v>43160</v>
      </c>
      <c r="G55" s="195">
        <v>43525</v>
      </c>
      <c r="H55" s="195">
        <v>43891</v>
      </c>
      <c r="I55" s="199">
        <v>44256</v>
      </c>
      <c r="J55" s="195">
        <v>44621</v>
      </c>
      <c r="K55" s="195">
        <v>44986</v>
      </c>
      <c r="L55" s="195">
        <v>45352</v>
      </c>
      <c r="M55" s="195">
        <v>45717</v>
      </c>
      <c r="N55" s="195">
        <v>46082</v>
      </c>
    </row>
    <row r="56" spans="1:14" x14ac:dyDescent="0.3">
      <c r="B56" s="26" t="s">
        <v>602</v>
      </c>
      <c r="C56" s="187">
        <v>-10731</v>
      </c>
      <c r="D56" s="187">
        <v>-9795</v>
      </c>
      <c r="E56" s="187">
        <v>-10922</v>
      </c>
      <c r="F56" s="187">
        <v>-19580</v>
      </c>
      <c r="G56" s="187">
        <v>-27076</v>
      </c>
      <c r="H56" s="187">
        <v>-23369</v>
      </c>
      <c r="I56" s="187">
        <v>4547</v>
      </c>
      <c r="J56" s="187">
        <v>-33670</v>
      </c>
      <c r="K56" s="187">
        <v>-39480</v>
      </c>
      <c r="L56" s="187">
        <v>-65502</v>
      </c>
      <c r="M56" s="187">
        <v>-61750</v>
      </c>
      <c r="N56" s="187">
        <v>-55301</v>
      </c>
    </row>
    <row r="57" spans="1:14" x14ac:dyDescent="0.3">
      <c r="B57" t="s">
        <v>90</v>
      </c>
      <c r="C57">
        <v>0</v>
      </c>
      <c r="D57">
        <v>0</v>
      </c>
      <c r="E57">
        <v>0</v>
      </c>
      <c r="F57" s="83">
        <v>3549</v>
      </c>
      <c r="G57" s="83">
        <v>5529</v>
      </c>
      <c r="H57" s="83">
        <v>9600</v>
      </c>
      <c r="I57" s="83">
        <v>5703</v>
      </c>
      <c r="J57" s="83">
        <v>12222</v>
      </c>
      <c r="K57" s="83">
        <v>14593</v>
      </c>
      <c r="L57" s="83">
        <v>18236</v>
      </c>
      <c r="M57" s="83">
        <v>24314</v>
      </c>
      <c r="N57" s="83">
        <v>34561</v>
      </c>
    </row>
    <row r="58" spans="1:14" x14ac:dyDescent="0.3">
      <c r="B58" t="s">
        <v>40</v>
      </c>
      <c r="C58">
        <v>0</v>
      </c>
      <c r="D58">
        <v>0</v>
      </c>
      <c r="E58">
        <v>0</v>
      </c>
      <c r="F58">
        <v>-100</v>
      </c>
      <c r="G58">
        <v>-581</v>
      </c>
      <c r="H58">
        <v>-491</v>
      </c>
      <c r="I58">
        <v>252</v>
      </c>
      <c r="J58">
        <v>-425</v>
      </c>
      <c r="K58">
        <v>-511</v>
      </c>
      <c r="L58" s="83">
        <v>-2598</v>
      </c>
      <c r="M58" s="83">
        <v>-2378</v>
      </c>
      <c r="N58" s="83">
        <v>-1299</v>
      </c>
    </row>
    <row r="59" spans="1:14" x14ac:dyDescent="0.3">
      <c r="B59" t="s">
        <v>91</v>
      </c>
      <c r="C59">
        <v>0</v>
      </c>
      <c r="D59">
        <v>0</v>
      </c>
      <c r="E59">
        <v>0</v>
      </c>
      <c r="F59" s="83">
        <v>1260</v>
      </c>
      <c r="G59">
        <v>-92</v>
      </c>
      <c r="H59">
        <v>-73</v>
      </c>
      <c r="I59" s="83">
        <v>1142</v>
      </c>
      <c r="J59">
        <v>65</v>
      </c>
      <c r="K59" s="83">
        <v>1706</v>
      </c>
      <c r="L59">
        <v>264</v>
      </c>
      <c r="M59">
        <v>117</v>
      </c>
      <c r="N59" s="83">
        <v>1174</v>
      </c>
    </row>
    <row r="60" spans="1:14" x14ac:dyDescent="0.3">
      <c r="B60" t="s">
        <v>92</v>
      </c>
      <c r="C60">
        <v>0</v>
      </c>
      <c r="D60">
        <v>0</v>
      </c>
      <c r="E60">
        <v>0</v>
      </c>
      <c r="F60" s="83">
        <v>-24378</v>
      </c>
      <c r="G60" s="83">
        <v>-34684</v>
      </c>
      <c r="H60" s="83">
        <v>-32488</v>
      </c>
      <c r="I60" s="83">
        <v>-9007</v>
      </c>
      <c r="J60" s="83">
        <v>-49594</v>
      </c>
      <c r="K60" s="83">
        <v>-53635</v>
      </c>
      <c r="L60" s="83">
        <v>-87355</v>
      </c>
      <c r="M60" s="83">
        <v>-89191</v>
      </c>
      <c r="N60" s="83">
        <v>-102868</v>
      </c>
    </row>
    <row r="61" spans="1:14" x14ac:dyDescent="0.3">
      <c r="B61" t="s">
        <v>603</v>
      </c>
      <c r="C61">
        <v>0</v>
      </c>
      <c r="D61">
        <v>0</v>
      </c>
      <c r="E61">
        <v>0</v>
      </c>
      <c r="F61">
        <v>0</v>
      </c>
      <c r="G61">
        <v>0</v>
      </c>
      <c r="H61">
        <v>0</v>
      </c>
      <c r="I61">
        <v>0</v>
      </c>
      <c r="J61">
        <v>0</v>
      </c>
      <c r="K61">
        <v>0</v>
      </c>
      <c r="L61" s="83">
        <v>1973</v>
      </c>
      <c r="M61" s="83">
        <v>-1429</v>
      </c>
      <c r="N61" s="83">
        <v>6213</v>
      </c>
    </row>
    <row r="62" spans="1:14" x14ac:dyDescent="0.3">
      <c r="B62" t="s">
        <v>93</v>
      </c>
      <c r="C62">
        <v>0</v>
      </c>
      <c r="D62">
        <v>0</v>
      </c>
      <c r="E62">
        <v>0</v>
      </c>
      <c r="F62">
        <v>0</v>
      </c>
      <c r="G62">
        <v>0</v>
      </c>
      <c r="H62">
        <v>0</v>
      </c>
      <c r="I62">
        <v>0</v>
      </c>
      <c r="J62">
        <v>0</v>
      </c>
      <c r="K62">
        <v>0</v>
      </c>
      <c r="L62">
        <v>-25</v>
      </c>
      <c r="M62">
        <v>57</v>
      </c>
      <c r="N62">
        <v>105</v>
      </c>
    </row>
    <row r="63" spans="1:14" x14ac:dyDescent="0.3">
      <c r="B63" t="s">
        <v>94</v>
      </c>
      <c r="C63">
        <v>0</v>
      </c>
      <c r="D63">
        <v>0</v>
      </c>
      <c r="E63">
        <v>0</v>
      </c>
      <c r="F63" s="83">
        <v>2185</v>
      </c>
      <c r="G63" s="83">
        <v>5581</v>
      </c>
      <c r="H63" s="83">
        <v>2738</v>
      </c>
      <c r="I63" s="83">
        <v>8579</v>
      </c>
      <c r="J63" s="83">
        <v>7237</v>
      </c>
      <c r="K63" s="83">
        <v>2994</v>
      </c>
      <c r="L63" s="83">
        <v>9978</v>
      </c>
      <c r="M63" s="83">
        <v>13403</v>
      </c>
      <c r="N63" s="83">
        <v>14204</v>
      </c>
    </row>
    <row r="64" spans="1:14" x14ac:dyDescent="0.3">
      <c r="B64" t="s">
        <v>95</v>
      </c>
      <c r="C64">
        <v>0</v>
      </c>
      <c r="D64">
        <v>0</v>
      </c>
      <c r="E64">
        <v>0</v>
      </c>
      <c r="F64" s="83">
        <v>-21032</v>
      </c>
      <c r="G64" s="83">
        <v>-29776</v>
      </c>
      <c r="H64" s="83">
        <v>-30313</v>
      </c>
      <c r="I64">
        <v>965</v>
      </c>
      <c r="J64" s="83">
        <v>-42717</v>
      </c>
      <c r="K64" s="83">
        <v>-49446</v>
      </c>
      <c r="L64" s="83">
        <v>-77763</v>
      </c>
      <c r="M64" s="83">
        <v>-79423</v>
      </c>
      <c r="N64" s="83">
        <v>-82471</v>
      </c>
    </row>
    <row r="65" spans="1:14" x14ac:dyDescent="0.3">
      <c r="B65" t="s">
        <v>96</v>
      </c>
      <c r="C65">
        <v>0</v>
      </c>
      <c r="D65">
        <v>0</v>
      </c>
      <c r="E65">
        <v>0</v>
      </c>
      <c r="F65" s="83">
        <v>-2098</v>
      </c>
      <c r="G65" s="83">
        <v>-2830</v>
      </c>
      <c r="H65" s="83">
        <v>-2656</v>
      </c>
      <c r="I65" s="83">
        <v>-2121</v>
      </c>
      <c r="J65" s="83">
        <v>-3176</v>
      </c>
      <c r="K65" s="83">
        <v>-4627</v>
      </c>
      <c r="L65" s="83">
        <v>-5975</v>
      </c>
      <c r="M65" s="83">
        <v>-6642</v>
      </c>
      <c r="N65" s="83">
        <v>-7392</v>
      </c>
    </row>
    <row r="66" spans="1:14" x14ac:dyDescent="0.3">
      <c r="B66" t="s">
        <v>604</v>
      </c>
      <c r="C66" s="83">
        <v>-10731</v>
      </c>
      <c r="D66" s="83">
        <v>-9795</v>
      </c>
      <c r="E66" s="83">
        <v>-10922</v>
      </c>
      <c r="F66">
        <v>0</v>
      </c>
      <c r="G66">
        <v>0</v>
      </c>
      <c r="H66">
        <v>0</v>
      </c>
      <c r="I66">
        <v>0</v>
      </c>
      <c r="J66">
        <v>0</v>
      </c>
      <c r="K66">
        <v>0</v>
      </c>
      <c r="L66">
        <v>0</v>
      </c>
      <c r="M66">
        <v>0</v>
      </c>
      <c r="N66">
        <v>0</v>
      </c>
    </row>
    <row r="67" spans="1:14" x14ac:dyDescent="0.3">
      <c r="C67" s="83"/>
      <c r="D67" s="83"/>
      <c r="E67" s="83"/>
    </row>
    <row r="68" spans="1:14" x14ac:dyDescent="0.3">
      <c r="A68" s="117" t="s">
        <v>55</v>
      </c>
      <c r="B68" s="26" t="s">
        <v>605</v>
      </c>
      <c r="C68" s="187">
        <v>3709</v>
      </c>
      <c r="D68" s="26">
        <v>-886</v>
      </c>
      <c r="E68" s="26">
        <v>151</v>
      </c>
      <c r="F68" s="26">
        <v>-922</v>
      </c>
      <c r="G68" s="187">
        <v>-6903</v>
      </c>
      <c r="H68" s="187">
        <v>-9948</v>
      </c>
      <c r="I68" s="187">
        <v>-3684</v>
      </c>
      <c r="J68" s="187">
        <v>1445</v>
      </c>
      <c r="K68" s="187">
        <v>-13945</v>
      </c>
      <c r="L68" s="187">
        <v>-14132</v>
      </c>
      <c r="M68" s="187">
        <v>-7987</v>
      </c>
      <c r="N68" s="187">
        <v>-12635</v>
      </c>
    </row>
    <row r="69" spans="1:14" x14ac:dyDescent="0.3">
      <c r="B69" t="s">
        <v>98</v>
      </c>
      <c r="C69">
        <v>0</v>
      </c>
      <c r="D69">
        <v>0</v>
      </c>
      <c r="E69">
        <v>0</v>
      </c>
      <c r="F69">
        <v>-341</v>
      </c>
      <c r="G69">
        <v>-647</v>
      </c>
      <c r="H69">
        <v>-879</v>
      </c>
      <c r="I69">
        <v>-471</v>
      </c>
      <c r="J69">
        <v>-910</v>
      </c>
      <c r="K69" s="83">
        <v>-1220</v>
      </c>
      <c r="L69" s="83">
        <v>-1435</v>
      </c>
      <c r="M69" s="83">
        <v>-1864</v>
      </c>
      <c r="N69" s="83">
        <v>-1448</v>
      </c>
    </row>
    <row r="70" spans="1:14" x14ac:dyDescent="0.3">
      <c r="B70" t="s">
        <v>99</v>
      </c>
      <c r="C70">
        <v>0</v>
      </c>
      <c r="D70">
        <v>0</v>
      </c>
      <c r="E70">
        <v>0</v>
      </c>
      <c r="F70">
        <v>38</v>
      </c>
      <c r="G70">
        <v>77</v>
      </c>
      <c r="H70">
        <v>9</v>
      </c>
      <c r="I70">
        <v>19</v>
      </c>
      <c r="J70">
        <v>160</v>
      </c>
      <c r="K70">
        <v>97</v>
      </c>
      <c r="L70">
        <v>126</v>
      </c>
      <c r="M70">
        <v>148</v>
      </c>
      <c r="N70">
        <v>131</v>
      </c>
    </row>
    <row r="71" spans="1:14" x14ac:dyDescent="0.3">
      <c r="B71" t="s">
        <v>100</v>
      </c>
      <c r="C71">
        <v>0</v>
      </c>
      <c r="D71">
        <v>0</v>
      </c>
      <c r="E71">
        <v>0</v>
      </c>
      <c r="F71" s="83">
        <v>-319723</v>
      </c>
      <c r="G71" s="83">
        <v>-544269</v>
      </c>
      <c r="H71" s="83">
        <v>-614784</v>
      </c>
      <c r="I71" s="83">
        <v>-335077</v>
      </c>
      <c r="J71" s="83">
        <v>-341682</v>
      </c>
      <c r="K71" s="83">
        <v>-397673</v>
      </c>
      <c r="L71" s="83">
        <v>-157405</v>
      </c>
      <c r="M71" s="83">
        <v>-210973</v>
      </c>
      <c r="N71" s="83">
        <v>-225505</v>
      </c>
    </row>
    <row r="72" spans="1:14" x14ac:dyDescent="0.3">
      <c r="B72" t="s">
        <v>101</v>
      </c>
      <c r="C72">
        <v>0</v>
      </c>
      <c r="D72">
        <v>0</v>
      </c>
      <c r="E72">
        <v>0</v>
      </c>
      <c r="F72" s="83">
        <v>315455</v>
      </c>
      <c r="G72" s="83">
        <v>534143</v>
      </c>
      <c r="H72" s="83">
        <v>601648</v>
      </c>
      <c r="I72" s="83">
        <v>326905</v>
      </c>
      <c r="J72" s="83">
        <v>338498</v>
      </c>
      <c r="K72" s="83">
        <v>378876</v>
      </c>
      <c r="L72" s="83">
        <v>139160</v>
      </c>
      <c r="M72" s="83">
        <v>198576</v>
      </c>
      <c r="N72" s="83">
        <v>208090</v>
      </c>
    </row>
    <row r="73" spans="1:14" x14ac:dyDescent="0.3">
      <c r="B73" t="s">
        <v>102</v>
      </c>
      <c r="C73">
        <v>0</v>
      </c>
      <c r="D73">
        <v>0</v>
      </c>
      <c r="E73">
        <v>0</v>
      </c>
      <c r="F73">
        <v>104</v>
      </c>
      <c r="G73">
        <v>120</v>
      </c>
      <c r="H73">
        <v>135</v>
      </c>
      <c r="I73">
        <v>227</v>
      </c>
      <c r="J73">
        <v>401</v>
      </c>
      <c r="K73">
        <v>635</v>
      </c>
      <c r="L73">
        <v>0</v>
      </c>
      <c r="M73">
        <v>0</v>
      </c>
      <c r="N73">
        <v>0</v>
      </c>
    </row>
    <row r="74" spans="1:14" x14ac:dyDescent="0.3">
      <c r="B74" t="s">
        <v>104</v>
      </c>
      <c r="C74">
        <v>0</v>
      </c>
      <c r="D74">
        <v>0</v>
      </c>
      <c r="E74">
        <v>0</v>
      </c>
      <c r="F74">
        <v>0</v>
      </c>
      <c r="G74">
        <v>0</v>
      </c>
      <c r="H74">
        <v>0</v>
      </c>
      <c r="I74">
        <v>0</v>
      </c>
      <c r="J74">
        <v>0</v>
      </c>
      <c r="K74">
        <v>-93</v>
      </c>
      <c r="L74">
        <v>-267</v>
      </c>
      <c r="M74">
        <v>0</v>
      </c>
      <c r="N74">
        <v>0</v>
      </c>
    </row>
    <row r="75" spans="1:14" x14ac:dyDescent="0.3">
      <c r="B75" t="s">
        <v>105</v>
      </c>
      <c r="C75" s="83">
        <v>3709</v>
      </c>
      <c r="D75">
        <v>-886</v>
      </c>
      <c r="E75">
        <v>151</v>
      </c>
      <c r="F75" s="83">
        <v>3546</v>
      </c>
      <c r="G75" s="83">
        <v>3673</v>
      </c>
      <c r="H75" s="83">
        <v>3922</v>
      </c>
      <c r="I75" s="83">
        <v>4713</v>
      </c>
      <c r="J75" s="83">
        <v>4979</v>
      </c>
      <c r="K75" s="83">
        <v>5432</v>
      </c>
      <c r="L75" s="83">
        <v>5690</v>
      </c>
      <c r="M75" s="83">
        <v>6126</v>
      </c>
      <c r="N75" s="83">
        <v>6098</v>
      </c>
    </row>
    <row r="76" spans="1:14" x14ac:dyDescent="0.3">
      <c r="C76" s="83"/>
      <c r="F76" s="83"/>
      <c r="G76" s="83"/>
      <c r="H76" s="83"/>
      <c r="I76" s="83"/>
      <c r="J76" s="83"/>
      <c r="K76" s="83"/>
      <c r="L76" s="83"/>
      <c r="M76" s="83"/>
      <c r="N76" s="83"/>
    </row>
    <row r="77" spans="1:14" x14ac:dyDescent="0.3">
      <c r="A77" t="s">
        <v>55</v>
      </c>
      <c r="B77" s="26" t="s">
        <v>606</v>
      </c>
      <c r="C77" s="187">
        <v>6839</v>
      </c>
      <c r="D77" s="187">
        <v>11602</v>
      </c>
      <c r="E77" s="187">
        <v>12513</v>
      </c>
      <c r="F77" s="187">
        <v>19590</v>
      </c>
      <c r="G77" s="187">
        <v>34535</v>
      </c>
      <c r="H77" s="187">
        <v>34479</v>
      </c>
      <c r="I77" s="187">
        <v>1687</v>
      </c>
      <c r="J77" s="187">
        <v>32326</v>
      </c>
      <c r="K77" s="187">
        <v>51016</v>
      </c>
      <c r="L77" s="187">
        <v>82709</v>
      </c>
      <c r="M77" s="187">
        <v>69828</v>
      </c>
      <c r="N77" s="187">
        <v>66610</v>
      </c>
    </row>
    <row r="78" spans="1:14" x14ac:dyDescent="0.3">
      <c r="B78" t="s">
        <v>607</v>
      </c>
      <c r="C78">
        <v>0</v>
      </c>
      <c r="D78">
        <v>0</v>
      </c>
      <c r="E78">
        <v>0</v>
      </c>
      <c r="F78" s="83">
        <v>4538</v>
      </c>
      <c r="G78">
        <v>58</v>
      </c>
      <c r="H78" s="83">
        <v>8568</v>
      </c>
      <c r="I78">
        <v>103</v>
      </c>
      <c r="J78">
        <v>173</v>
      </c>
      <c r="K78">
        <v>227</v>
      </c>
      <c r="L78" s="83">
        <v>9169</v>
      </c>
      <c r="M78">
        <v>515</v>
      </c>
      <c r="N78">
        <v>698</v>
      </c>
    </row>
    <row r="79" spans="1:14" x14ac:dyDescent="0.3">
      <c r="B79" t="s">
        <v>608</v>
      </c>
      <c r="C79">
        <v>0</v>
      </c>
      <c r="D79">
        <v>0</v>
      </c>
      <c r="E79">
        <v>0</v>
      </c>
      <c r="F79" s="83">
        <v>8147</v>
      </c>
      <c r="G79" s="83">
        <v>12923</v>
      </c>
      <c r="H79" s="83">
        <v>1973</v>
      </c>
      <c r="I79">
        <v>0</v>
      </c>
      <c r="J79">
        <v>0</v>
      </c>
      <c r="K79">
        <v>0</v>
      </c>
      <c r="L79">
        <v>0</v>
      </c>
      <c r="M79">
        <v>0</v>
      </c>
      <c r="N79">
        <v>0</v>
      </c>
    </row>
    <row r="80" spans="1:14" x14ac:dyDescent="0.3">
      <c r="B80" t="s">
        <v>107</v>
      </c>
      <c r="C80">
        <v>0</v>
      </c>
      <c r="D80">
        <v>0</v>
      </c>
      <c r="E80">
        <v>0</v>
      </c>
      <c r="F80" s="83">
        <v>3644</v>
      </c>
      <c r="G80" s="83">
        <v>16564</v>
      </c>
      <c r="H80" s="83">
        <v>16906</v>
      </c>
      <c r="I80" s="83">
        <v>4937</v>
      </c>
      <c r="J80" s="83">
        <v>45869</v>
      </c>
      <c r="K80" s="83">
        <v>74758</v>
      </c>
      <c r="L80" s="83">
        <v>94690</v>
      </c>
      <c r="M80" s="83">
        <v>99852</v>
      </c>
      <c r="N80" s="83">
        <v>126601</v>
      </c>
    </row>
    <row r="81" spans="2:14" x14ac:dyDescent="0.3">
      <c r="B81" t="s">
        <v>108</v>
      </c>
      <c r="C81">
        <v>0</v>
      </c>
      <c r="D81">
        <v>0</v>
      </c>
      <c r="E81">
        <v>0</v>
      </c>
      <c r="F81">
        <v>0</v>
      </c>
      <c r="G81">
        <v>0</v>
      </c>
      <c r="H81">
        <v>0</v>
      </c>
      <c r="I81" s="83">
        <v>-7371</v>
      </c>
      <c r="J81" s="83">
        <v>-17890</v>
      </c>
      <c r="K81" s="83">
        <v>-36474</v>
      </c>
      <c r="L81" s="83">
        <v>-34376</v>
      </c>
      <c r="M81" s="83">
        <v>-39124</v>
      </c>
      <c r="N81" s="83">
        <v>-52124</v>
      </c>
    </row>
    <row r="82" spans="2:14" x14ac:dyDescent="0.3">
      <c r="B82" t="s">
        <v>609</v>
      </c>
      <c r="C82">
        <v>0</v>
      </c>
      <c r="D82">
        <v>0</v>
      </c>
      <c r="E82">
        <v>0</v>
      </c>
      <c r="F82" s="83">
        <v>3441</v>
      </c>
      <c r="G82" s="83">
        <v>5264</v>
      </c>
      <c r="H82" s="83">
        <v>7988</v>
      </c>
      <c r="I82" s="83">
        <v>4246</v>
      </c>
      <c r="J82" s="83">
        <v>4784</v>
      </c>
      <c r="K82" s="83">
        <v>13557</v>
      </c>
      <c r="L82" s="83">
        <v>14760</v>
      </c>
      <c r="M82" s="83">
        <v>10527</v>
      </c>
      <c r="N82">
        <v>0</v>
      </c>
    </row>
    <row r="83" spans="2:14" x14ac:dyDescent="0.3">
      <c r="B83" t="s">
        <v>111</v>
      </c>
      <c r="C83">
        <v>0</v>
      </c>
      <c r="D83">
        <v>0</v>
      </c>
      <c r="E83">
        <v>0</v>
      </c>
      <c r="F83">
        <v>-110</v>
      </c>
      <c r="G83">
        <v>-182</v>
      </c>
      <c r="H83">
        <v>-683</v>
      </c>
      <c r="I83">
        <v>-82</v>
      </c>
      <c r="J83">
        <v>-400</v>
      </c>
      <c r="K83">
        <v>-745</v>
      </c>
      <c r="L83" s="83">
        <v>-1183</v>
      </c>
      <c r="M83" s="83">
        <v>-1542</v>
      </c>
      <c r="N83" s="83">
        <v>-1848</v>
      </c>
    </row>
    <row r="84" spans="2:14" x14ac:dyDescent="0.3">
      <c r="B84" t="s">
        <v>112</v>
      </c>
      <c r="C84">
        <v>0</v>
      </c>
      <c r="D84">
        <v>0</v>
      </c>
      <c r="E84">
        <v>0</v>
      </c>
      <c r="F84">
        <v>0</v>
      </c>
      <c r="G84">
        <v>0</v>
      </c>
      <c r="H84">
        <v>-112</v>
      </c>
      <c r="I84">
        <v>-146</v>
      </c>
      <c r="J84">
        <v>-210</v>
      </c>
      <c r="K84">
        <v>-305</v>
      </c>
      <c r="L84">
        <v>-316</v>
      </c>
      <c r="M84">
        <v>-399</v>
      </c>
      <c r="N84">
        <v>-442</v>
      </c>
    </row>
    <row r="85" spans="2:14" x14ac:dyDescent="0.3">
      <c r="B85" t="s">
        <v>113</v>
      </c>
      <c r="C85" s="83">
        <v>6839</v>
      </c>
      <c r="D85" s="83">
        <v>11602</v>
      </c>
      <c r="E85" s="83">
        <v>12513</v>
      </c>
      <c r="F85">
        <v>-70</v>
      </c>
      <c r="G85">
        <v>-92</v>
      </c>
      <c r="H85">
        <v>-161</v>
      </c>
      <c r="I85">
        <v>0</v>
      </c>
      <c r="J85">
        <v>0</v>
      </c>
      <c r="K85">
        <v>-2</v>
      </c>
      <c r="L85">
        <v>-35</v>
      </c>
      <c r="M85">
        <v>0</v>
      </c>
      <c r="N85" s="83">
        <v>-6275</v>
      </c>
    </row>
    <row r="86" spans="2:14" x14ac:dyDescent="0.3">
      <c r="B86" t="s">
        <v>50</v>
      </c>
      <c r="C86">
        <v>-183</v>
      </c>
      <c r="D86">
        <v>921</v>
      </c>
      <c r="E86" s="83">
        <v>1742</v>
      </c>
      <c r="F86">
        <v>-911</v>
      </c>
      <c r="G86">
        <v>555</v>
      </c>
      <c r="H86" s="83">
        <v>1162</v>
      </c>
      <c r="I86" s="83">
        <v>2551</v>
      </c>
      <c r="J86">
        <v>101</v>
      </c>
      <c r="K86" s="83">
        <v>-2409</v>
      </c>
      <c r="L86" s="83">
        <v>3075</v>
      </c>
      <c r="M86">
        <v>92</v>
      </c>
      <c r="N86" s="83">
        <v>-1326</v>
      </c>
    </row>
    <row r="87" spans="2:14" x14ac:dyDescent="0.3">
      <c r="B87" t="s">
        <v>114</v>
      </c>
      <c r="C87" s="83">
        <v>-10731</v>
      </c>
      <c r="D87" s="83">
        <v>-9795</v>
      </c>
      <c r="E87" s="83">
        <v>-10922</v>
      </c>
      <c r="F87" s="83">
        <v>-19883</v>
      </c>
      <c r="G87" s="83">
        <v>-27646</v>
      </c>
      <c r="H87" s="83">
        <v>-24239</v>
      </c>
      <c r="I87" s="83">
        <v>4096</v>
      </c>
      <c r="J87" s="83">
        <v>-34420</v>
      </c>
      <c r="K87" s="83">
        <v>-40603</v>
      </c>
      <c r="L87" s="83">
        <v>-66811</v>
      </c>
      <c r="M87" s="83">
        <v>-63466</v>
      </c>
      <c r="N87" s="83">
        <v>-56619</v>
      </c>
    </row>
    <row r="88" spans="2:14" x14ac:dyDescent="0.3">
      <c r="B88" t="s">
        <v>115</v>
      </c>
      <c r="C88" s="124">
        <v>-1.95</v>
      </c>
      <c r="D88" s="124">
        <v>-1.45</v>
      </c>
      <c r="E88" s="124">
        <v>-1.25</v>
      </c>
      <c r="F88" s="124">
        <v>-1.62</v>
      </c>
      <c r="G88" s="124">
        <v>-1.61</v>
      </c>
      <c r="H88" s="124">
        <v>-1.1299999999999999</v>
      </c>
      <c r="I88" s="124">
        <v>0.34</v>
      </c>
      <c r="J88" s="124">
        <v>-1.42</v>
      </c>
      <c r="K88" s="124">
        <v>-1.17</v>
      </c>
      <c r="L88" s="124">
        <v>-1.46</v>
      </c>
      <c r="M88" s="124">
        <v>-1.1100000000000001</v>
      </c>
      <c r="N88" s="124">
        <v>-0.84</v>
      </c>
    </row>
  </sheetData>
  <mergeCells count="1">
    <mergeCell ref="B1:G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4FD48-E253-41FB-8357-D87880ECC00E}">
  <sheetPr>
    <tabColor rgb="FF002060"/>
  </sheetPr>
  <dimension ref="A2:M61"/>
  <sheetViews>
    <sheetView showGridLines="0" workbookViewId="0">
      <pane xSplit="2" ySplit="4" topLeftCell="C18" activePane="bottomRight" state="frozen"/>
      <selection pane="topRight" activeCell="C1" sqref="C1"/>
      <selection pane="bottomLeft" activeCell="A5" sqref="A5"/>
      <selection pane="bottomRight" activeCell="E51" sqref="E51"/>
    </sheetView>
  </sheetViews>
  <sheetFormatPr defaultRowHeight="14.4" x14ac:dyDescent="0.3"/>
  <cols>
    <col min="1" max="1" width="1.88671875" customWidth="1"/>
    <col min="2" max="2" width="40.77734375" customWidth="1"/>
    <col min="5" max="5" width="8.6640625" customWidth="1"/>
    <col min="6" max="7" width="9.77734375" bestFit="1" customWidth="1"/>
    <col min="8" max="8" width="14.88671875" customWidth="1"/>
    <col min="9" max="10" width="9.77734375" bestFit="1" customWidth="1"/>
  </cols>
  <sheetData>
    <row r="2" spans="1:13" ht="19.8" x14ac:dyDescent="0.4">
      <c r="B2" s="364" t="s">
        <v>572</v>
      </c>
      <c r="C2" s="364"/>
      <c r="D2" s="364"/>
      <c r="E2" s="364"/>
      <c r="F2" s="364"/>
      <c r="G2" s="364"/>
      <c r="H2" s="364"/>
      <c r="I2" s="364"/>
      <c r="J2" s="364"/>
    </row>
    <row r="4" spans="1:13" x14ac:dyDescent="0.3">
      <c r="B4" t="s">
        <v>573</v>
      </c>
    </row>
    <row r="6" spans="1:13" ht="28.8" x14ac:dyDescent="0.3">
      <c r="B6" s="194" t="s">
        <v>574</v>
      </c>
      <c r="C6" s="193"/>
      <c r="D6" s="193"/>
      <c r="E6" s="195">
        <v>44256</v>
      </c>
      <c r="F6" s="195">
        <v>44621</v>
      </c>
      <c r="G6" s="195">
        <v>44986</v>
      </c>
      <c r="H6" s="195">
        <v>45352</v>
      </c>
      <c r="I6" s="195">
        <v>45717</v>
      </c>
      <c r="J6" s="195">
        <v>46082</v>
      </c>
      <c r="K6" s="26"/>
      <c r="L6" s="26" t="s">
        <v>589</v>
      </c>
      <c r="M6" s="26"/>
    </row>
    <row r="8" spans="1:13" x14ac:dyDescent="0.3">
      <c r="B8" t="s">
        <v>575</v>
      </c>
    </row>
    <row r="9" spans="1:13" x14ac:dyDescent="0.3">
      <c r="B9" t="str">
        <f>'Bajaj Finserve -Raw Data'!B33</f>
        <v xml:space="preserve">Trade receivables </v>
      </c>
      <c r="E9">
        <f>'Bajaj Finserve -Raw Data'!I33</f>
        <v>2753</v>
      </c>
      <c r="F9">
        <f>'Bajaj Finserve -Raw Data'!J33</f>
        <v>3005</v>
      </c>
      <c r="G9">
        <f>'Bajaj Finserve -Raw Data'!K33</f>
        <v>3459</v>
      </c>
      <c r="H9">
        <f>'Bajaj Finserve -Raw Data'!L33</f>
        <v>5974</v>
      </c>
      <c r="I9">
        <f>'Bajaj Finserve -Raw Data'!M33</f>
        <v>8319</v>
      </c>
      <c r="J9">
        <f>'Bajaj Finserve -Raw Data'!N33</f>
        <v>9332</v>
      </c>
      <c r="L9" t="s">
        <v>586</v>
      </c>
    </row>
    <row r="10" spans="1:13" x14ac:dyDescent="0.3">
      <c r="B10" t="str">
        <f>'Bajaj Finserve -Raw Data'!B35</f>
        <v>Loans n Advances</v>
      </c>
      <c r="E10">
        <f>'Bajaj Finserve -Raw Data'!I35</f>
        <v>604</v>
      </c>
      <c r="F10">
        <f>'Bajaj Finserve -Raw Data'!J35</f>
        <v>721</v>
      </c>
      <c r="G10">
        <f>'Bajaj Finserve -Raw Data'!K35</f>
        <v>318</v>
      </c>
      <c r="H10">
        <f>'Bajaj Finserve -Raw Data'!L35</f>
        <v>436</v>
      </c>
      <c r="I10">
        <f>'Bajaj Finserve -Raw Data'!M35</f>
        <v>676</v>
      </c>
      <c r="J10">
        <f>'Bajaj Finserve -Raw Data'!N35</f>
        <v>419</v>
      </c>
    </row>
    <row r="11" spans="1:13" x14ac:dyDescent="0.3">
      <c r="B11" t="str">
        <f>'Bajaj Finserve -Raw Data'!B36</f>
        <v>Other asset items</v>
      </c>
      <c r="E11">
        <f>'Bajaj Finserve -Raw Data'!I36</f>
        <v>156112</v>
      </c>
      <c r="F11">
        <f>'Bajaj Finserve -Raw Data'!J36</f>
        <v>202364</v>
      </c>
      <c r="G11">
        <f>'Bajaj Finserve -Raw Data'!K36</f>
        <v>255544</v>
      </c>
      <c r="H11">
        <f>'Bajaj Finserve -Raw Data'!L36</f>
        <v>342817</v>
      </c>
      <c r="I11">
        <f>'Bajaj Finserve -Raw Data'!M36</f>
        <v>430046</v>
      </c>
      <c r="J11">
        <f>'Bajaj Finserve -Raw Data'!N36</f>
        <v>529662</v>
      </c>
      <c r="L11" t="s">
        <v>587</v>
      </c>
    </row>
    <row r="12" spans="1:13" ht="15" thickBot="1" x14ac:dyDescent="0.35">
      <c r="A12" s="26" t="s">
        <v>55</v>
      </c>
      <c r="B12" s="196" t="s">
        <v>85</v>
      </c>
      <c r="C12" s="196"/>
      <c r="D12" s="196"/>
      <c r="E12" s="196">
        <f>SUM(E9:E11)</f>
        <v>159469</v>
      </c>
      <c r="F12" s="196">
        <f t="shared" ref="F12:J12" si="0">SUM(F9:F11)</f>
        <v>206090</v>
      </c>
      <c r="G12" s="196">
        <f t="shared" si="0"/>
        <v>259321</v>
      </c>
      <c r="H12" s="196">
        <f t="shared" si="0"/>
        <v>349227</v>
      </c>
      <c r="I12" s="196">
        <f t="shared" si="0"/>
        <v>439041</v>
      </c>
      <c r="J12" s="196">
        <f t="shared" si="0"/>
        <v>539413</v>
      </c>
    </row>
    <row r="13" spans="1:13" ht="15" thickTop="1" x14ac:dyDescent="0.3">
      <c r="L13" t="s">
        <v>588</v>
      </c>
    </row>
    <row r="14" spans="1:13" x14ac:dyDescent="0.3">
      <c r="B14" t="s">
        <v>577</v>
      </c>
    </row>
    <row r="15" spans="1:13" x14ac:dyDescent="0.3">
      <c r="B15" t="str">
        <f>'Bajaj Finserve -Raw Data'!B12</f>
        <v>Trade Payables</v>
      </c>
      <c r="E15">
        <f>'Bajaj Finserve -Raw Data'!I12</f>
        <v>4178</v>
      </c>
      <c r="F15">
        <f>'Bajaj Finserve -Raw Data'!J12</f>
        <v>4009</v>
      </c>
      <c r="G15">
        <f>'Bajaj Finserve -Raw Data'!K12</f>
        <v>5205</v>
      </c>
      <c r="H15">
        <f>'Bajaj Finserve -Raw Data'!L12</f>
        <v>6277</v>
      </c>
      <c r="I15">
        <f>'Bajaj Finserve -Raw Data'!M12</f>
        <v>7965</v>
      </c>
      <c r="J15">
        <f>'Bajaj Finserve -Raw Data'!N12</f>
        <v>9052</v>
      </c>
      <c r="L15" s="26" t="s">
        <v>601</v>
      </c>
    </row>
    <row r="16" spans="1:13" x14ac:dyDescent="0.3">
      <c r="B16" t="str">
        <f>'Bajaj Finserve -Raw Data'!B13</f>
        <v>Other liability items</v>
      </c>
      <c r="E16" s="83">
        <f>'Bajaj Finserve -Raw Data'!I13</f>
        <v>88912</v>
      </c>
      <c r="F16" s="83">
        <f>'Bajaj Finserve -Raw Data'!J13</f>
        <v>101905</v>
      </c>
      <c r="G16" s="83">
        <f>'Bajaj Finserve -Raw Data'!K13</f>
        <v>110333</v>
      </c>
      <c r="H16" s="83">
        <f>'Bajaj Finserve -Raw Data'!L13</f>
        <v>138429</v>
      </c>
      <c r="I16" s="83">
        <f>'Bajaj Finserve -Raw Data'!M13</f>
        <v>159265</v>
      </c>
      <c r="J16" s="83">
        <f>'Bajaj Finserve -Raw Data'!N13</f>
        <v>178563</v>
      </c>
      <c r="L16" s="26" t="s">
        <v>611</v>
      </c>
    </row>
    <row r="17" spans="1:12" ht="15" thickBot="1" x14ac:dyDescent="0.35">
      <c r="A17" s="26" t="s">
        <v>55</v>
      </c>
      <c r="B17" s="196" t="s">
        <v>578</v>
      </c>
      <c r="C17" s="196"/>
      <c r="D17" s="196"/>
      <c r="E17" s="196">
        <f>SUM(E15:E16)</f>
        <v>93090</v>
      </c>
      <c r="F17" s="196">
        <f t="shared" ref="F17:J17" si="1">SUM(F15:F16)</f>
        <v>105914</v>
      </c>
      <c r="G17" s="196">
        <f t="shared" si="1"/>
        <v>115538</v>
      </c>
      <c r="H17" s="196">
        <f t="shared" si="1"/>
        <v>144706</v>
      </c>
      <c r="I17" s="196">
        <f t="shared" si="1"/>
        <v>167230</v>
      </c>
      <c r="J17" s="196">
        <f t="shared" si="1"/>
        <v>187615</v>
      </c>
      <c r="L17" t="s">
        <v>612</v>
      </c>
    </row>
    <row r="18" spans="1:12" ht="15" thickTop="1" x14ac:dyDescent="0.3">
      <c r="L18" t="s">
        <v>210</v>
      </c>
    </row>
    <row r="19" spans="1:12" x14ac:dyDescent="0.3">
      <c r="A19" s="26" t="s">
        <v>55</v>
      </c>
      <c r="B19" s="26" t="s">
        <v>579</v>
      </c>
      <c r="C19" s="26"/>
      <c r="D19" s="26"/>
      <c r="E19" s="26">
        <f>E12-E17</f>
        <v>66379</v>
      </c>
      <c r="F19" s="26">
        <f t="shared" ref="F19:J19" si="2">F12-F17</f>
        <v>100176</v>
      </c>
      <c r="G19" s="26">
        <f t="shared" si="2"/>
        <v>143783</v>
      </c>
      <c r="H19" s="26">
        <f t="shared" si="2"/>
        <v>204521</v>
      </c>
      <c r="I19" s="26">
        <f t="shared" si="2"/>
        <v>271811</v>
      </c>
      <c r="J19" s="26">
        <f t="shared" si="2"/>
        <v>351798</v>
      </c>
      <c r="L19" t="s">
        <v>619</v>
      </c>
    </row>
    <row r="20" spans="1:12" x14ac:dyDescent="0.3">
      <c r="B20" t="s">
        <v>580</v>
      </c>
    </row>
    <row r="22" spans="1:12" x14ac:dyDescent="0.3">
      <c r="B22" t="s">
        <v>581</v>
      </c>
    </row>
    <row r="23" spans="1:12" x14ac:dyDescent="0.3">
      <c r="B23" t="str">
        <f>'Bajaj Finserve -Raw Data'!B17</f>
        <v>Land</v>
      </c>
      <c r="E23">
        <f>'Bajaj Finserve -Raw Data'!I17</f>
        <v>325</v>
      </c>
      <c r="F23">
        <f>'Bajaj Finserve -Raw Data'!J17</f>
        <v>476</v>
      </c>
      <c r="G23">
        <f>'Bajaj Finserve -Raw Data'!K17</f>
        <v>673</v>
      </c>
      <c r="H23">
        <f>'Bajaj Finserve -Raw Data'!L17</f>
        <v>674</v>
      </c>
      <c r="I23">
        <f>'Bajaj Finserve -Raw Data'!M17</f>
        <v>675</v>
      </c>
      <c r="J23">
        <f>'Bajaj Finserve -Raw Data'!N17</f>
        <v>675</v>
      </c>
    </row>
    <row r="24" spans="1:12" x14ac:dyDescent="0.3">
      <c r="B24" t="str">
        <f>'Bajaj Finserve -Raw Data'!B18</f>
        <v>Building</v>
      </c>
      <c r="E24">
        <f>'Bajaj Finserve -Raw Data'!I18</f>
        <v>1020</v>
      </c>
      <c r="F24">
        <f>'Bajaj Finserve -Raw Data'!J18</f>
        <v>1065</v>
      </c>
      <c r="G24">
        <f>'Bajaj Finserve -Raw Data'!K18</f>
        <v>1090</v>
      </c>
      <c r="H24">
        <f>'Bajaj Finserve -Raw Data'!L18</f>
        <v>1140</v>
      </c>
      <c r="I24">
        <f>'Bajaj Finserve -Raw Data'!M18</f>
        <v>1153</v>
      </c>
      <c r="J24">
        <f>'Bajaj Finserve -Raw Data'!N18</f>
        <v>1188</v>
      </c>
    </row>
    <row r="25" spans="1:12" x14ac:dyDescent="0.3">
      <c r="B25" t="str">
        <f>'Bajaj Finserve -Raw Data'!B19</f>
        <v>Equipments</v>
      </c>
      <c r="E25">
        <f>'Bajaj Finserve -Raw Data'!I19</f>
        <v>264</v>
      </c>
      <c r="F25">
        <f>'Bajaj Finserve -Raw Data'!J19</f>
        <v>272</v>
      </c>
      <c r="G25">
        <f>'Bajaj Finserve -Raw Data'!K19</f>
        <v>320</v>
      </c>
      <c r="H25">
        <f>'Bajaj Finserve -Raw Data'!L19</f>
        <v>352</v>
      </c>
      <c r="I25">
        <f>'Bajaj Finserve -Raw Data'!M19</f>
        <v>446</v>
      </c>
      <c r="J25">
        <f>'Bajaj Finserve -Raw Data'!N19</f>
        <v>492</v>
      </c>
    </row>
    <row r="26" spans="1:12" x14ac:dyDescent="0.3">
      <c r="B26" t="str">
        <f>'Bajaj Finserve -Raw Data'!B20</f>
        <v>Computers</v>
      </c>
      <c r="E26">
        <f>'Bajaj Finserve -Raw Data'!I20</f>
        <v>465</v>
      </c>
      <c r="F26">
        <f>'Bajaj Finserve -Raw Data'!J20</f>
        <v>546</v>
      </c>
      <c r="G26">
        <f>'Bajaj Finserve -Raw Data'!K20</f>
        <v>702</v>
      </c>
      <c r="H26">
        <f>'Bajaj Finserve -Raw Data'!L20</f>
        <v>978</v>
      </c>
      <c r="I26">
        <f>'Bajaj Finserve -Raw Data'!M20</f>
        <v>1043</v>
      </c>
      <c r="J26">
        <f>'Bajaj Finserve -Raw Data'!N20</f>
        <v>1155</v>
      </c>
    </row>
    <row r="27" spans="1:12" x14ac:dyDescent="0.3">
      <c r="B27" t="str">
        <f>'Bajaj Finserve -Raw Data'!B21</f>
        <v>Furniture n fittings</v>
      </c>
      <c r="E27">
        <f>'Bajaj Finserve -Raw Data'!I21</f>
        <v>335</v>
      </c>
      <c r="F27">
        <f>'Bajaj Finserve -Raw Data'!J21</f>
        <v>308</v>
      </c>
      <c r="G27">
        <f>'Bajaj Finserve -Raw Data'!K21</f>
        <v>342</v>
      </c>
      <c r="H27">
        <f>'Bajaj Finserve -Raw Data'!L21</f>
        <v>461</v>
      </c>
      <c r="I27">
        <f>'Bajaj Finserve -Raw Data'!M21</f>
        <v>486</v>
      </c>
      <c r="J27">
        <f>'Bajaj Finserve -Raw Data'!N21</f>
        <v>535</v>
      </c>
    </row>
    <row r="28" spans="1:12" x14ac:dyDescent="0.3">
      <c r="B28" t="str">
        <f>'Bajaj Finserve -Raw Data'!B22</f>
        <v>Vehicles</v>
      </c>
      <c r="E28">
        <f>'Bajaj Finserve -Raw Data'!I22</f>
        <v>129</v>
      </c>
      <c r="F28">
        <f>'Bajaj Finserve -Raw Data'!J22</f>
        <v>187</v>
      </c>
      <c r="G28">
        <f>'Bajaj Finserve -Raw Data'!K22</f>
        <v>302</v>
      </c>
      <c r="H28">
        <f>'Bajaj Finserve -Raw Data'!L22</f>
        <v>464</v>
      </c>
      <c r="I28">
        <f>'Bajaj Finserve -Raw Data'!M22</f>
        <v>641</v>
      </c>
      <c r="J28">
        <f>'Bajaj Finserve -Raw Data'!N22</f>
        <v>754</v>
      </c>
    </row>
    <row r="29" spans="1:12" x14ac:dyDescent="0.3">
      <c r="B29" t="str">
        <f>'Bajaj Finserve -Raw Data'!B23</f>
        <v>Intangible Assets</v>
      </c>
      <c r="E29">
        <f>'Bajaj Finserve -Raw Data'!I23</f>
        <v>689</v>
      </c>
      <c r="F29">
        <f>'Bajaj Finserve -Raw Data'!J23</f>
        <v>689</v>
      </c>
      <c r="G29">
        <f>'Bajaj Finserve -Raw Data'!K23</f>
        <v>689</v>
      </c>
      <c r="H29">
        <f>'Bajaj Finserve -Raw Data'!L23</f>
        <v>689</v>
      </c>
      <c r="I29">
        <f>'Bajaj Finserve -Raw Data'!M23</f>
        <v>803</v>
      </c>
      <c r="J29">
        <f>'Bajaj Finserve -Raw Data'!N23</f>
        <v>803</v>
      </c>
    </row>
    <row r="30" spans="1:12" x14ac:dyDescent="0.3">
      <c r="B30" t="str">
        <f>'Bajaj Finserve -Raw Data'!B24</f>
        <v>Other fixed assets</v>
      </c>
      <c r="E30">
        <f>'Bajaj Finserve -Raw Data'!I24</f>
        <v>1887</v>
      </c>
      <c r="F30">
        <f>'Bajaj Finserve -Raw Data'!J24</f>
        <v>2276</v>
      </c>
      <c r="G30">
        <f>'Bajaj Finserve -Raw Data'!K24</f>
        <v>2931</v>
      </c>
      <c r="H30">
        <f>'Bajaj Finserve -Raw Data'!L24</f>
        <v>4078</v>
      </c>
      <c r="I30">
        <f>'Bajaj Finserve -Raw Data'!M24</f>
        <v>4988</v>
      </c>
      <c r="J30">
        <f>'Bajaj Finserve -Raw Data'!N24</f>
        <v>5977</v>
      </c>
    </row>
    <row r="31" spans="1:12" x14ac:dyDescent="0.3">
      <c r="B31" s="26" t="s">
        <v>562</v>
      </c>
      <c r="C31" s="26"/>
      <c r="D31" s="26"/>
      <c r="E31" s="26">
        <f>SUM(E23:E30)</f>
        <v>5114</v>
      </c>
      <c r="F31" s="26">
        <f t="shared" ref="F31:J31" si="3">SUM(F23:F30)</f>
        <v>5819</v>
      </c>
      <c r="G31" s="26">
        <f t="shared" si="3"/>
        <v>7049</v>
      </c>
      <c r="H31" s="26">
        <f t="shared" si="3"/>
        <v>8836</v>
      </c>
      <c r="I31" s="26">
        <f t="shared" si="3"/>
        <v>10235</v>
      </c>
      <c r="J31" s="26">
        <f t="shared" si="3"/>
        <v>11579</v>
      </c>
    </row>
    <row r="32" spans="1:12" x14ac:dyDescent="0.3">
      <c r="B32" t="s">
        <v>582</v>
      </c>
      <c r="E32" s="83">
        <f>'Bajaj Finserve -Raw Data'!I26</f>
        <v>1933</v>
      </c>
      <c r="F32" s="83">
        <f>'Bajaj Finserve -Raw Data'!J26</f>
        <v>2234</v>
      </c>
      <c r="G32" s="83">
        <f>'Bajaj Finserve -Raw Data'!K26</f>
        <v>2712</v>
      </c>
      <c r="H32" s="83">
        <f>'Bajaj Finserve -Raw Data'!L26</f>
        <v>3381</v>
      </c>
      <c r="I32" s="83">
        <f>'Bajaj Finserve -Raw Data'!M26</f>
        <v>3938</v>
      </c>
      <c r="J32" s="83">
        <f>'Bajaj Finserve -Raw Data'!N26</f>
        <v>4850</v>
      </c>
    </row>
    <row r="33" spans="1:10" ht="15" thickBot="1" x14ac:dyDescent="0.35">
      <c r="A33" s="26" t="s">
        <v>55</v>
      </c>
      <c r="B33" s="196" t="s">
        <v>583</v>
      </c>
      <c r="C33" s="196"/>
      <c r="D33" s="196"/>
      <c r="E33" s="196">
        <f>E31-E32</f>
        <v>3181</v>
      </c>
      <c r="F33" s="196">
        <f t="shared" ref="F33:J33" si="4">F31-F32</f>
        <v>3585</v>
      </c>
      <c r="G33" s="196">
        <f t="shared" si="4"/>
        <v>4337</v>
      </c>
      <c r="H33" s="196">
        <f t="shared" si="4"/>
        <v>5455</v>
      </c>
      <c r="I33" s="196">
        <f t="shared" si="4"/>
        <v>6297</v>
      </c>
      <c r="J33" s="196">
        <f t="shared" si="4"/>
        <v>6729</v>
      </c>
    </row>
    <row r="34" spans="1:10" ht="15" thickTop="1" x14ac:dyDescent="0.3"/>
    <row r="35" spans="1:10" x14ac:dyDescent="0.3">
      <c r="A35" t="s">
        <v>55</v>
      </c>
      <c r="B35" s="26" t="s">
        <v>584</v>
      </c>
      <c r="E35">
        <f>E33+E19</f>
        <v>69560</v>
      </c>
      <c r="F35">
        <f t="shared" ref="F35:J35" si="5">F33+F19</f>
        <v>103761</v>
      </c>
      <c r="G35">
        <f t="shared" si="5"/>
        <v>148120</v>
      </c>
      <c r="H35">
        <f t="shared" si="5"/>
        <v>209976</v>
      </c>
      <c r="I35">
        <f t="shared" si="5"/>
        <v>278108</v>
      </c>
      <c r="J35">
        <f t="shared" si="5"/>
        <v>358527</v>
      </c>
    </row>
    <row r="36" spans="1:10" x14ac:dyDescent="0.3">
      <c r="B36" t="s">
        <v>585</v>
      </c>
    </row>
    <row r="37" spans="1:10" x14ac:dyDescent="0.3">
      <c r="B37" s="26" t="s">
        <v>315</v>
      </c>
      <c r="E37" s="187">
        <f>'Bajaj Finserve -Raw Data'!I49</f>
        <v>19137</v>
      </c>
      <c r="F37" s="187">
        <f>'Bajaj Finserve -Raw Data'!J49</f>
        <v>20900</v>
      </c>
      <c r="G37" s="187">
        <f>'Bajaj Finserve -Raw Data'!K49</f>
        <v>29191</v>
      </c>
      <c r="H37" s="187">
        <f>'Bajaj Finserve -Raw Data'!L49</f>
        <v>39981</v>
      </c>
      <c r="I37" s="187">
        <f>'Bajaj Finserve -Raw Data'!M49</f>
        <v>48336</v>
      </c>
      <c r="J37" s="187">
        <f>'Bajaj Finserve -Raw Data'!N49</f>
        <v>55424</v>
      </c>
    </row>
    <row r="39" spans="1:10" x14ac:dyDescent="0.3">
      <c r="A39" t="s">
        <v>55</v>
      </c>
      <c r="B39" s="185" t="s">
        <v>597</v>
      </c>
      <c r="C39" s="185"/>
      <c r="D39" s="185"/>
      <c r="E39" s="202">
        <f>E37/E35</f>
        <v>0.27511500862564692</v>
      </c>
      <c r="F39" s="202">
        <f t="shared" ref="F39:J39" si="6">F37/F35</f>
        <v>0.20142442728963675</v>
      </c>
      <c r="G39" s="202">
        <f t="shared" si="6"/>
        <v>0.19707669457196866</v>
      </c>
      <c r="H39" s="202">
        <f t="shared" si="6"/>
        <v>0.19040747514001599</v>
      </c>
      <c r="I39" s="202">
        <f t="shared" si="6"/>
        <v>0.17380298301379321</v>
      </c>
      <c r="J39" s="202">
        <f t="shared" si="6"/>
        <v>0.15458807844318559</v>
      </c>
    </row>
    <row r="40" spans="1:10" x14ac:dyDescent="0.3">
      <c r="B40" t="s">
        <v>598</v>
      </c>
    </row>
    <row r="42" spans="1:10" x14ac:dyDescent="0.3">
      <c r="A42" t="s">
        <v>55</v>
      </c>
      <c r="B42" s="193" t="s">
        <v>599</v>
      </c>
      <c r="C42" s="198"/>
      <c r="D42" s="198"/>
      <c r="E42" s="195">
        <v>44256</v>
      </c>
      <c r="F42" s="195">
        <v>44621</v>
      </c>
      <c r="G42" s="195">
        <v>44986</v>
      </c>
      <c r="H42" s="195">
        <v>45352</v>
      </c>
      <c r="I42" s="195">
        <v>45717</v>
      </c>
      <c r="J42" s="195">
        <v>46082</v>
      </c>
    </row>
    <row r="44" spans="1:10" x14ac:dyDescent="0.3">
      <c r="B44" t="s">
        <v>600</v>
      </c>
      <c r="E44">
        <f>-SUM('Bajaj Finserve -Raw Data'!I69:I70)</f>
        <v>452</v>
      </c>
      <c r="F44">
        <f>-SUM('Bajaj Finserve -Raw Data'!J69:J70)</f>
        <v>750</v>
      </c>
      <c r="G44">
        <f>-SUM('Bajaj Finserve -Raw Data'!K69:K70)</f>
        <v>1123</v>
      </c>
      <c r="H44">
        <f>-SUM('Bajaj Finserve -Raw Data'!L69:L70)</f>
        <v>1309</v>
      </c>
      <c r="I44">
        <f>-SUM('Bajaj Finserve -Raw Data'!M69:M70)</f>
        <v>1716</v>
      </c>
      <c r="J44" s="83">
        <f>-SUM('Bajaj Finserve -Raw Data'!N69:N70)</f>
        <v>1317</v>
      </c>
    </row>
    <row r="45" spans="1:10" x14ac:dyDescent="0.3">
      <c r="B45" t="s">
        <v>610</v>
      </c>
      <c r="F45">
        <f>F19-E19</f>
        <v>33797</v>
      </c>
      <c r="G45">
        <f>G19-F19</f>
        <v>43607</v>
      </c>
      <c r="H45">
        <f t="shared" ref="H45:J45" si="7">H19-G19</f>
        <v>60738</v>
      </c>
      <c r="I45">
        <f t="shared" si="7"/>
        <v>67290</v>
      </c>
      <c r="J45">
        <f t="shared" si="7"/>
        <v>79987</v>
      </c>
    </row>
    <row r="47" spans="1:10" x14ac:dyDescent="0.3">
      <c r="B47" t="s">
        <v>315</v>
      </c>
      <c r="E47" s="83">
        <f>E37</f>
        <v>19137</v>
      </c>
      <c r="F47" s="83">
        <f t="shared" ref="F47:J47" si="8">F37</f>
        <v>20900</v>
      </c>
      <c r="G47" s="83">
        <f t="shared" si="8"/>
        <v>29191</v>
      </c>
      <c r="H47" s="83">
        <f t="shared" si="8"/>
        <v>39981</v>
      </c>
      <c r="I47" s="83">
        <f t="shared" si="8"/>
        <v>48336</v>
      </c>
      <c r="J47" s="83">
        <f t="shared" si="8"/>
        <v>55424</v>
      </c>
    </row>
    <row r="48" spans="1:10" x14ac:dyDescent="0.3">
      <c r="B48" t="s">
        <v>613</v>
      </c>
      <c r="E48" s="203">
        <v>0.25</v>
      </c>
      <c r="F48" s="203">
        <v>0.25</v>
      </c>
      <c r="G48" s="203">
        <v>0.25</v>
      </c>
      <c r="H48" s="203">
        <v>0.25</v>
      </c>
      <c r="I48" s="203">
        <v>0.25</v>
      </c>
      <c r="J48" s="203">
        <v>0.25</v>
      </c>
    </row>
    <row r="49" spans="1:10" x14ac:dyDescent="0.3">
      <c r="B49" t="s">
        <v>616</v>
      </c>
      <c r="E49">
        <f>E47*(1-E48)</f>
        <v>14352.75</v>
      </c>
      <c r="F49">
        <f t="shared" ref="F49:J49" si="9">F47*(1-F48)</f>
        <v>15675</v>
      </c>
      <c r="G49">
        <f t="shared" si="9"/>
        <v>21893.25</v>
      </c>
      <c r="H49">
        <f t="shared" si="9"/>
        <v>29985.75</v>
      </c>
      <c r="I49">
        <f t="shared" si="9"/>
        <v>36252</v>
      </c>
      <c r="J49">
        <f t="shared" si="9"/>
        <v>41568</v>
      </c>
    </row>
    <row r="50" spans="1:10" x14ac:dyDescent="0.3">
      <c r="A50" t="s">
        <v>55</v>
      </c>
      <c r="B50" t="s">
        <v>614</v>
      </c>
      <c r="E50">
        <f>SUM(E44:E45)</f>
        <v>452</v>
      </c>
      <c r="F50">
        <f t="shared" ref="F50:J50" si="10">SUM(F44:F45)</f>
        <v>34547</v>
      </c>
      <c r="G50">
        <f t="shared" si="10"/>
        <v>44730</v>
      </c>
      <c r="H50">
        <f t="shared" si="10"/>
        <v>62047</v>
      </c>
      <c r="I50">
        <f t="shared" si="10"/>
        <v>69006</v>
      </c>
      <c r="J50">
        <f t="shared" si="10"/>
        <v>81304</v>
      </c>
    </row>
    <row r="51" spans="1:10" x14ac:dyDescent="0.3">
      <c r="B51" t="s">
        <v>615</v>
      </c>
      <c r="E51" s="59">
        <f>E50/E49</f>
        <v>3.1492222744770169E-2</v>
      </c>
      <c r="F51" s="59">
        <f t="shared" ref="F51:I51" si="11">F50/F49</f>
        <v>2.2039553429027112</v>
      </c>
      <c r="G51" s="59">
        <f t="shared" si="11"/>
        <v>2.0430954746325924</v>
      </c>
      <c r="H51" s="59">
        <f t="shared" si="11"/>
        <v>2.0692162110335741</v>
      </c>
      <c r="I51" s="59">
        <f t="shared" si="11"/>
        <v>1.9035087719298245</v>
      </c>
      <c r="J51" s="59">
        <f>J50/J49</f>
        <v>1.9559276366435721</v>
      </c>
    </row>
    <row r="53" spans="1:10" x14ac:dyDescent="0.3">
      <c r="H53" s="204" t="s">
        <v>617</v>
      </c>
      <c r="I53" s="205">
        <f>AVERAGE(E51:J51)</f>
        <v>1.7011992766478408</v>
      </c>
    </row>
    <row r="54" spans="1:10" x14ac:dyDescent="0.3">
      <c r="H54" s="204" t="s">
        <v>621</v>
      </c>
      <c r="I54" s="205">
        <f>MEDIAN(E51:J51)</f>
        <v>1.9995115556380822</v>
      </c>
    </row>
    <row r="57" spans="1:10" x14ac:dyDescent="0.3">
      <c r="A57" s="193" t="s">
        <v>55</v>
      </c>
      <c r="B57" s="193" t="s">
        <v>618</v>
      </c>
      <c r="C57" s="193"/>
      <c r="D57" s="193"/>
      <c r="E57" s="195">
        <v>44256</v>
      </c>
      <c r="F57" s="195">
        <v>44621</v>
      </c>
      <c r="G57" s="195">
        <v>44986</v>
      </c>
      <c r="H57" s="195">
        <v>45352</v>
      </c>
      <c r="I57" s="195">
        <v>45717</v>
      </c>
      <c r="J57" s="195">
        <v>46082</v>
      </c>
    </row>
    <row r="59" spans="1:10" x14ac:dyDescent="0.3">
      <c r="B59" t="s">
        <v>615</v>
      </c>
      <c r="E59" s="28">
        <f>E51</f>
        <v>3.1492222744770169E-2</v>
      </c>
      <c r="F59" s="28">
        <f t="shared" ref="F59:J59" si="12">F51</f>
        <v>2.2039553429027112</v>
      </c>
      <c r="G59" s="28">
        <f t="shared" si="12"/>
        <v>2.0430954746325924</v>
      </c>
      <c r="H59" s="28">
        <f t="shared" si="12"/>
        <v>2.0692162110335741</v>
      </c>
      <c r="I59" s="28">
        <f>I51</f>
        <v>1.9035087719298245</v>
      </c>
      <c r="J59" s="28">
        <f t="shared" si="12"/>
        <v>1.9559276366435721</v>
      </c>
    </row>
    <row r="60" spans="1:10" x14ac:dyDescent="0.3">
      <c r="B60" t="s">
        <v>596</v>
      </c>
      <c r="E60" s="28">
        <f t="shared" ref="E60:J60" si="13">E39</f>
        <v>0.27511500862564692</v>
      </c>
      <c r="F60" s="28">
        <f t="shared" si="13"/>
        <v>0.20142442728963675</v>
      </c>
      <c r="G60" s="28">
        <f t="shared" si="13"/>
        <v>0.19707669457196866</v>
      </c>
      <c r="H60" s="28">
        <f t="shared" si="13"/>
        <v>0.19040747514001599</v>
      </c>
      <c r="I60" s="28">
        <f t="shared" si="13"/>
        <v>0.17380298301379321</v>
      </c>
      <c r="J60" s="28">
        <f t="shared" si="13"/>
        <v>0.15458807844318559</v>
      </c>
    </row>
    <row r="61" spans="1:10" x14ac:dyDescent="0.3">
      <c r="A61" t="s">
        <v>55</v>
      </c>
      <c r="B61" s="193" t="s">
        <v>620</v>
      </c>
      <c r="C61" s="193"/>
      <c r="D61" s="193"/>
      <c r="E61" s="206">
        <f>E59*E60</f>
        <v>8.6639831320682384E-3</v>
      </c>
      <c r="F61" s="206">
        <f t="shared" ref="F61:J61" si="14">F59*F60</f>
        <v>0.44393044271611359</v>
      </c>
      <c r="G61" s="206">
        <f t="shared" si="14"/>
        <v>0.40264650283553877</v>
      </c>
      <c r="H61" s="206">
        <f t="shared" si="14"/>
        <v>0.39399423426169333</v>
      </c>
      <c r="I61" s="206">
        <f t="shared" si="14"/>
        <v>0.33083550275432566</v>
      </c>
      <c r="J61" s="206">
        <f t="shared" si="14"/>
        <v>0.30236309492265112</v>
      </c>
    </row>
  </sheetData>
  <mergeCells count="1">
    <mergeCell ref="B2:J2"/>
  </mergeCells>
  <pageMargins left="0.7" right="0.7" top="0.75" bottom="0.75" header="0.3" footer="0.3"/>
  <pageSetup paperSize="160" orientation="landscape" r:id="rId1"/>
  <ignoredErrors>
    <ignoredError sqref="E44:I44"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4D72-1416-4972-B7D8-634BDB94233D}">
  <sheetPr>
    <tabColor rgb="FF002060"/>
  </sheetPr>
  <dimension ref="A3:O49"/>
  <sheetViews>
    <sheetView showGridLines="0" topLeftCell="A25" workbookViewId="0">
      <selection activeCell="D7" sqref="D7"/>
    </sheetView>
  </sheetViews>
  <sheetFormatPr defaultRowHeight="14.4" outlineLevelRow="1" x14ac:dyDescent="0.3"/>
  <cols>
    <col min="1" max="1" width="1.88671875" customWidth="1"/>
    <col min="2" max="3" width="15.77734375" customWidth="1"/>
    <col min="4" max="4" width="23" customWidth="1"/>
    <col min="5" max="5" width="23.77734375" customWidth="1"/>
    <col min="6" max="6" width="18.5546875" customWidth="1"/>
    <col min="7" max="10" width="15.77734375" customWidth="1"/>
    <col min="13" max="13" width="17.77734375" customWidth="1"/>
  </cols>
  <sheetData>
    <row r="3" spans="2:14" ht="19.8" x14ac:dyDescent="0.4">
      <c r="B3" s="365" t="s">
        <v>627</v>
      </c>
      <c r="C3" s="365"/>
      <c r="D3" s="365"/>
      <c r="E3" s="365"/>
      <c r="F3" s="365"/>
      <c r="G3" s="365"/>
      <c r="H3" s="365"/>
      <c r="I3" s="365"/>
      <c r="J3" s="365"/>
      <c r="K3" s="365"/>
    </row>
    <row r="5" spans="2:14" ht="15.6" x14ac:dyDescent="0.3">
      <c r="B5" s="207" t="s">
        <v>570</v>
      </c>
      <c r="C5" s="207"/>
      <c r="D5" s="208">
        <f>'Intrinsic Growth'!J6</f>
        <v>46082</v>
      </c>
      <c r="E5" s="209">
        <f>D5+365</f>
        <v>46447</v>
      </c>
      <c r="F5" s="209">
        <f>E5+366</f>
        <v>46813</v>
      </c>
      <c r="G5" s="209">
        <f t="shared" ref="G5:I5" si="0">F5+365</f>
        <v>47178</v>
      </c>
      <c r="H5" s="209">
        <f t="shared" si="0"/>
        <v>47543</v>
      </c>
      <c r="I5" s="209">
        <f t="shared" si="0"/>
        <v>47908</v>
      </c>
      <c r="J5" s="209">
        <f>I5+366</f>
        <v>48274</v>
      </c>
    </row>
    <row r="6" spans="2:14" x14ac:dyDescent="0.3">
      <c r="E6" t="s">
        <v>210</v>
      </c>
    </row>
    <row r="7" spans="2:14" x14ac:dyDescent="0.3">
      <c r="B7" s="210" t="s">
        <v>315</v>
      </c>
      <c r="C7" s="210"/>
      <c r="D7" s="218">
        <f>'Bajaj Finserve -Raw Data'!N49</f>
        <v>55424</v>
      </c>
      <c r="E7" s="210">
        <f t="shared" ref="E7:J7" si="1">D7*(1+$C$17)</f>
        <v>72182.172172993029</v>
      </c>
      <c r="F7" s="210">
        <f t="shared" si="1"/>
        <v>94007.397149458877</v>
      </c>
      <c r="G7" s="210">
        <f t="shared" si="1"/>
        <v>122431.76469719209</v>
      </c>
      <c r="H7" s="210">
        <f t="shared" si="1"/>
        <v>159450.61198787688</v>
      </c>
      <c r="I7" s="210">
        <f t="shared" si="1"/>
        <v>207662.59251584212</v>
      </c>
      <c r="J7" s="210">
        <f t="shared" si="1"/>
        <v>270452.0966885935</v>
      </c>
    </row>
    <row r="8" spans="2:14" x14ac:dyDescent="0.3">
      <c r="B8" s="211" t="s">
        <v>624</v>
      </c>
      <c r="C8" s="211"/>
      <c r="D8" s="219">
        <v>0.3</v>
      </c>
      <c r="E8" s="212">
        <f>D8</f>
        <v>0.3</v>
      </c>
      <c r="F8" s="212">
        <f t="shared" ref="F8:J8" si="2">E8</f>
        <v>0.3</v>
      </c>
      <c r="G8" s="212">
        <f t="shared" si="2"/>
        <v>0.3</v>
      </c>
      <c r="H8" s="212">
        <f t="shared" si="2"/>
        <v>0.3</v>
      </c>
      <c r="I8" s="212">
        <f t="shared" si="2"/>
        <v>0.3</v>
      </c>
      <c r="J8" s="212">
        <f t="shared" si="2"/>
        <v>0.3</v>
      </c>
      <c r="N8" t="s">
        <v>538</v>
      </c>
    </row>
    <row r="9" spans="2:14" x14ac:dyDescent="0.3">
      <c r="B9" s="224" t="s">
        <v>616</v>
      </c>
      <c r="C9" s="224"/>
      <c r="D9" s="225">
        <f>D7*(1-D8)</f>
        <v>38796.799999999996</v>
      </c>
      <c r="E9" s="224">
        <f t="shared" ref="E9:J9" si="3">E7*(1-E8)</f>
        <v>50527.520521095117</v>
      </c>
      <c r="F9" s="224">
        <f t="shared" si="3"/>
        <v>65805.178004621208</v>
      </c>
      <c r="G9" s="224">
        <f t="shared" si="3"/>
        <v>85702.235288034455</v>
      </c>
      <c r="H9" s="224">
        <f t="shared" si="3"/>
        <v>111615.42839151381</v>
      </c>
      <c r="I9" s="224">
        <f t="shared" si="3"/>
        <v>145363.81476108948</v>
      </c>
      <c r="J9" s="224">
        <f t="shared" si="3"/>
        <v>189316.46768201544</v>
      </c>
      <c r="N9" s="60" t="s">
        <v>633</v>
      </c>
    </row>
    <row r="10" spans="2:14" x14ac:dyDescent="0.3">
      <c r="B10" s="211" t="s">
        <v>625</v>
      </c>
      <c r="C10" s="211"/>
      <c r="D10" s="221">
        <f>'Intrinsic Growth'!$J$51</f>
        <v>1.9559276366435721</v>
      </c>
      <c r="E10" s="213">
        <f>$D$10+(($J$10-$D$10)-4)</f>
        <v>5.6510999999999996</v>
      </c>
      <c r="F10" s="213">
        <f t="shared" ref="F10:I10" si="4">E10+(($J$10-$D$10)-4)</f>
        <v>9.3462723633564266</v>
      </c>
      <c r="G10" s="213">
        <f t="shared" si="4"/>
        <v>13.041444726712854</v>
      </c>
      <c r="H10" s="213">
        <f t="shared" si="4"/>
        <v>16.736617090069281</v>
      </c>
      <c r="I10" s="213">
        <f t="shared" si="4"/>
        <v>20.431789453425708</v>
      </c>
      <c r="J10" s="214">
        <f>965.11%</f>
        <v>9.6510999999999996</v>
      </c>
      <c r="K10" s="121" t="s">
        <v>628</v>
      </c>
      <c r="N10" t="s">
        <v>629</v>
      </c>
    </row>
    <row r="11" spans="2:14" x14ac:dyDescent="0.3">
      <c r="B11" s="224" t="s">
        <v>626</v>
      </c>
      <c r="C11" s="224"/>
      <c r="D11" s="225">
        <f>D9*(1-D10)</f>
        <v>-37086.933333333334</v>
      </c>
      <c r="E11" s="224">
        <f>E9*(1-E10)</f>
        <v>-235008.55069566547</v>
      </c>
      <c r="F11" s="224">
        <f t="shared" ref="F11:J11" si="5">F9*(1-F10)</f>
        <v>-549227.93854572019</v>
      </c>
      <c r="G11" s="224">
        <f t="shared" si="5"/>
        <v>-1031978.7291766068</v>
      </c>
      <c r="H11" s="224">
        <f t="shared" si="5"/>
        <v>-1756449.2579413003</v>
      </c>
      <c r="I11" s="224">
        <f t="shared" si="5"/>
        <v>-2824679.042584267</v>
      </c>
      <c r="J11" s="224">
        <f t="shared" si="5"/>
        <v>-1637795.6935638837</v>
      </c>
      <c r="N11" s="60" t="s">
        <v>630</v>
      </c>
    </row>
    <row r="12" spans="2:14" x14ac:dyDescent="0.3">
      <c r="B12" s="211" t="s">
        <v>646</v>
      </c>
      <c r="C12" s="211"/>
      <c r="D12" s="220" t="s">
        <v>210</v>
      </c>
      <c r="E12" s="215">
        <v>0.5</v>
      </c>
      <c r="F12" s="211">
        <f>E12+1</f>
        <v>1.5</v>
      </c>
      <c r="G12" s="211">
        <f t="shared" ref="G12:J12" si="6">F12+1</f>
        <v>2.5</v>
      </c>
      <c r="H12" s="211">
        <f t="shared" si="6"/>
        <v>3.5</v>
      </c>
      <c r="I12" s="211">
        <f t="shared" si="6"/>
        <v>4.5</v>
      </c>
      <c r="J12" s="211">
        <f t="shared" si="6"/>
        <v>5.5</v>
      </c>
      <c r="N12" s="60" t="s">
        <v>631</v>
      </c>
    </row>
    <row r="13" spans="2:14" x14ac:dyDescent="0.3">
      <c r="B13" s="216" t="s">
        <v>634</v>
      </c>
      <c r="C13" s="216"/>
      <c r="D13" s="222"/>
      <c r="E13" s="223">
        <f>1/(1+$C$19^E12)</f>
        <v>0.73499410626850692</v>
      </c>
      <c r="F13" s="223">
        <f t="shared" ref="F13:J13" si="7">1/(1+$C$19^F12)</f>
        <v>0.95522646596469252</v>
      </c>
      <c r="G13" s="223">
        <f t="shared" si="7"/>
        <v>0.99394352277170583</v>
      </c>
      <c r="H13" s="223">
        <f t="shared" si="7"/>
        <v>0.99920848737328805</v>
      </c>
      <c r="I13" s="223">
        <f>1/(1+$C$19^I12)</f>
        <v>0.99989703245342887</v>
      </c>
      <c r="J13" s="223">
        <f t="shared" si="7"/>
        <v>0.99998661301971647</v>
      </c>
      <c r="N13" s="60" t="s">
        <v>632</v>
      </c>
    </row>
    <row r="14" spans="2:14" x14ac:dyDescent="0.3">
      <c r="D14" s="154"/>
    </row>
    <row r="15" spans="2:14" ht="15" thickBot="1" x14ac:dyDescent="0.35">
      <c r="B15" s="226" t="s">
        <v>635</v>
      </c>
      <c r="C15" s="226"/>
      <c r="D15" s="226"/>
      <c r="E15" s="226">
        <f>E11*E13</f>
        <v>-172729.89968401776</v>
      </c>
      <c r="F15" s="226">
        <f t="shared" ref="F15:J15" si="8">F11*F13</f>
        <v>-524637.06274610164</v>
      </c>
      <c r="G15" s="226">
        <f t="shared" si="8"/>
        <v>-1025728.5735032647</v>
      </c>
      <c r="H15" s="226">
        <f t="shared" si="8"/>
        <v>-1755059.006175461</v>
      </c>
      <c r="I15" s="226">
        <f t="shared" si="8"/>
        <v>-2824388.192313401</v>
      </c>
      <c r="J15" s="226">
        <f t="shared" si="8"/>
        <v>-1637773.7684252255</v>
      </c>
      <c r="N15" t="s">
        <v>638</v>
      </c>
    </row>
    <row r="17" spans="2:15" outlineLevel="1" x14ac:dyDescent="0.3">
      <c r="B17" s="154" t="s">
        <v>636</v>
      </c>
      <c r="C17" s="122">
        <f>'Intrinsic Growth'!J59*'Intrinsic Growth'!J60</f>
        <v>0.30236309492265112</v>
      </c>
      <c r="N17" t="s">
        <v>639</v>
      </c>
    </row>
    <row r="18" spans="2:15" outlineLevel="1" x14ac:dyDescent="0.3">
      <c r="B18" s="154" t="s">
        <v>637</v>
      </c>
      <c r="C18" s="217">
        <v>0.05</v>
      </c>
      <c r="N18" t="s">
        <v>640</v>
      </c>
    </row>
    <row r="19" spans="2:15" outlineLevel="1" x14ac:dyDescent="0.3">
      <c r="B19" s="154" t="s">
        <v>408</v>
      </c>
      <c r="C19" s="217">
        <v>0.13</v>
      </c>
      <c r="N19" s="22"/>
    </row>
    <row r="20" spans="2:15" x14ac:dyDescent="0.3">
      <c r="N20" s="60" t="s">
        <v>641</v>
      </c>
    </row>
    <row r="21" spans="2:15" x14ac:dyDescent="0.3">
      <c r="N21" s="60" t="s">
        <v>642</v>
      </c>
    </row>
    <row r="22" spans="2:15" x14ac:dyDescent="0.3">
      <c r="B22" s="366" t="s">
        <v>647</v>
      </c>
      <c r="C22" s="366"/>
      <c r="D22" s="366"/>
      <c r="E22" s="366"/>
      <c r="F22" s="366"/>
      <c r="G22" s="366"/>
      <c r="H22" s="366"/>
      <c r="I22" s="366"/>
      <c r="J22" s="366"/>
      <c r="K22" s="366"/>
      <c r="L22" s="366"/>
      <c r="M22" s="366"/>
    </row>
    <row r="23" spans="2:15" x14ac:dyDescent="0.3">
      <c r="N23" t="s">
        <v>643</v>
      </c>
      <c r="O23" t="s">
        <v>639</v>
      </c>
    </row>
    <row r="24" spans="2:15" x14ac:dyDescent="0.3">
      <c r="O24" t="s">
        <v>645</v>
      </c>
    </row>
    <row r="25" spans="2:15" ht="31.2" x14ac:dyDescent="0.3">
      <c r="B25" s="131" t="s">
        <v>652</v>
      </c>
      <c r="G25" s="89" t="s">
        <v>672</v>
      </c>
      <c r="O25" t="s">
        <v>644</v>
      </c>
    </row>
    <row r="27" spans="2:15" x14ac:dyDescent="0.3">
      <c r="B27" t="s">
        <v>653</v>
      </c>
      <c r="G27" t="s">
        <v>673</v>
      </c>
    </row>
    <row r="28" spans="2:15" x14ac:dyDescent="0.3">
      <c r="B28" s="22"/>
      <c r="G28" s="22"/>
      <c r="N28" t="s">
        <v>648</v>
      </c>
    </row>
    <row r="29" spans="2:15" x14ac:dyDescent="0.3">
      <c r="B29" s="22" t="s">
        <v>654</v>
      </c>
      <c r="G29" s="60" t="s">
        <v>674</v>
      </c>
      <c r="N29" s="22"/>
    </row>
    <row r="30" spans="2:15" x14ac:dyDescent="0.3">
      <c r="B30" s="22" t="s">
        <v>655</v>
      </c>
      <c r="G30" s="60" t="s">
        <v>675</v>
      </c>
      <c r="N30" s="60" t="s">
        <v>649</v>
      </c>
    </row>
    <row r="31" spans="2:15" x14ac:dyDescent="0.3">
      <c r="B31" s="22" t="s">
        <v>656</v>
      </c>
      <c r="G31" s="60" t="s">
        <v>676</v>
      </c>
    </row>
    <row r="32" spans="2:15" x14ac:dyDescent="0.3">
      <c r="B32" s="22" t="s">
        <v>657</v>
      </c>
      <c r="G32" s="60" t="s">
        <v>677</v>
      </c>
      <c r="N32" t="s">
        <v>650</v>
      </c>
    </row>
    <row r="33" spans="1:14" x14ac:dyDescent="0.3">
      <c r="B33" s="22" t="s">
        <v>658</v>
      </c>
      <c r="N33" s="22"/>
    </row>
    <row r="34" spans="1:14" x14ac:dyDescent="0.3">
      <c r="G34" s="60" t="s">
        <v>678</v>
      </c>
      <c r="N34" s="60" t="s">
        <v>651</v>
      </c>
    </row>
    <row r="35" spans="1:14" x14ac:dyDescent="0.3">
      <c r="G35" s="22"/>
    </row>
    <row r="36" spans="1:14" x14ac:dyDescent="0.3">
      <c r="B36" t="s">
        <v>659</v>
      </c>
      <c r="G36" s="60" t="s">
        <v>679</v>
      </c>
    </row>
    <row r="38" spans="1:14" x14ac:dyDescent="0.3">
      <c r="B38" s="26" t="s">
        <v>660</v>
      </c>
    </row>
    <row r="41" spans="1:14" ht="15.6" x14ac:dyDescent="0.3">
      <c r="A41" t="s">
        <v>55</v>
      </c>
      <c r="B41" s="207" t="s">
        <v>661</v>
      </c>
      <c r="C41" s="207"/>
      <c r="E41" s="207" t="s">
        <v>664</v>
      </c>
      <c r="F41" s="207"/>
    </row>
    <row r="43" spans="1:14" x14ac:dyDescent="0.3">
      <c r="B43" t="s">
        <v>662</v>
      </c>
      <c r="C43">
        <f>J11*(1+C17)</f>
        <v>-2133004.6683208495</v>
      </c>
      <c r="E43" t="s">
        <v>665</v>
      </c>
      <c r="F43">
        <f>SUM(E15:J15)</f>
        <v>-7940316.5028474713</v>
      </c>
    </row>
    <row r="44" spans="1:14" x14ac:dyDescent="0.3">
      <c r="B44" t="s">
        <v>408</v>
      </c>
      <c r="C44" s="124">
        <f>C19</f>
        <v>0.13</v>
      </c>
      <c r="E44" t="s">
        <v>666</v>
      </c>
      <c r="F44" s="134">
        <f>C47*J13</f>
        <v>-26662201.422867626</v>
      </c>
    </row>
    <row r="45" spans="1:14" x14ac:dyDescent="0.3">
      <c r="B45" t="s">
        <v>663</v>
      </c>
      <c r="C45" s="124">
        <f>C18</f>
        <v>0.05</v>
      </c>
      <c r="E45" t="s">
        <v>667</v>
      </c>
      <c r="F45" s="134">
        <f>SUM(F43:F44)</f>
        <v>-34602517.925715096</v>
      </c>
    </row>
    <row r="47" spans="1:14" x14ac:dyDescent="0.3">
      <c r="B47" s="227" t="s">
        <v>637</v>
      </c>
      <c r="C47" s="227">
        <f>C43/(C44-C45)</f>
        <v>-26662558.354010619</v>
      </c>
      <c r="E47" s="26" t="s">
        <v>668</v>
      </c>
      <c r="F47" s="26">
        <v>17618</v>
      </c>
    </row>
    <row r="48" spans="1:14" x14ac:dyDescent="0.3">
      <c r="E48" t="s">
        <v>669</v>
      </c>
      <c r="F48" t="s">
        <v>670</v>
      </c>
    </row>
    <row r="49" spans="5:6" x14ac:dyDescent="0.3">
      <c r="E49" t="s">
        <v>671</v>
      </c>
      <c r="F49" s="134"/>
    </row>
  </sheetData>
  <mergeCells count="2">
    <mergeCell ref="B3:K3"/>
    <mergeCell ref="B22:M22"/>
  </mergeCells>
  <pageMargins left="0.7" right="0.7" top="0.75" bottom="0.75" header="0.3" footer="0.3"/>
  <pageSetup orientation="portrait" r:id="rId1"/>
  <ignoredErrors>
    <ignoredError sqref="F5 D10:K10"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2EBE-740B-41EA-A822-21CAB9815F68}">
  <sheetPr>
    <tabColor rgb="FF002060"/>
  </sheetPr>
  <dimension ref="B2:C132"/>
  <sheetViews>
    <sheetView showGridLines="0" topLeftCell="A18" workbookViewId="0">
      <selection activeCell="E82" sqref="E82"/>
    </sheetView>
  </sheetViews>
  <sheetFormatPr defaultRowHeight="14.4" x14ac:dyDescent="0.3"/>
  <cols>
    <col min="1" max="1" width="1.88671875" customWidth="1"/>
    <col min="2" max="3" width="35.77734375" customWidth="1"/>
  </cols>
  <sheetData>
    <row r="2" spans="2:3" ht="31.2" x14ac:dyDescent="0.3">
      <c r="B2" s="131" t="s">
        <v>680</v>
      </c>
    </row>
    <row r="4" spans="2:3" ht="23.4" x14ac:dyDescent="0.3">
      <c r="B4" s="89" t="s">
        <v>681</v>
      </c>
    </row>
    <row r="6" spans="2:3" x14ac:dyDescent="0.3">
      <c r="B6" s="228" t="s">
        <v>54</v>
      </c>
      <c r="C6" s="229" t="s">
        <v>114</v>
      </c>
    </row>
    <row r="7" spans="2:3" x14ac:dyDescent="0.3">
      <c r="B7" s="230">
        <v>1</v>
      </c>
      <c r="C7" s="231">
        <v>100</v>
      </c>
    </row>
    <row r="8" spans="2:3" x14ac:dyDescent="0.3">
      <c r="B8" s="230">
        <v>2</v>
      </c>
      <c r="C8" s="231">
        <v>80</v>
      </c>
    </row>
    <row r="9" spans="2:3" x14ac:dyDescent="0.3">
      <c r="B9" s="230">
        <v>3</v>
      </c>
      <c r="C9" s="231">
        <v>40</v>
      </c>
    </row>
    <row r="10" spans="2:3" x14ac:dyDescent="0.3">
      <c r="B10" s="230">
        <v>4</v>
      </c>
      <c r="C10" s="231">
        <v>-20</v>
      </c>
    </row>
    <row r="11" spans="2:3" x14ac:dyDescent="0.3">
      <c r="B11" s="232">
        <v>5</v>
      </c>
      <c r="C11" s="233">
        <v>-50</v>
      </c>
    </row>
    <row r="13" spans="2:3" x14ac:dyDescent="0.3">
      <c r="B13" t="s">
        <v>682</v>
      </c>
    </row>
    <row r="14" spans="2:3" x14ac:dyDescent="0.3">
      <c r="B14" s="22"/>
    </row>
    <row r="15" spans="2:3" x14ac:dyDescent="0.3">
      <c r="B15" s="60" t="s">
        <v>683</v>
      </c>
    </row>
    <row r="17" spans="2:3" ht="18" x14ac:dyDescent="0.3">
      <c r="B17" s="21" t="s">
        <v>684</v>
      </c>
    </row>
    <row r="19" spans="2:3" x14ac:dyDescent="0.3">
      <c r="B19" t="s">
        <v>685</v>
      </c>
    </row>
    <row r="20" spans="2:3" x14ac:dyDescent="0.3">
      <c r="B20" s="22"/>
    </row>
    <row r="21" spans="2:3" x14ac:dyDescent="0.3">
      <c r="B21" s="22" t="s">
        <v>686</v>
      </c>
    </row>
    <row r="22" spans="2:3" x14ac:dyDescent="0.3">
      <c r="B22" s="22" t="s">
        <v>687</v>
      </c>
    </row>
    <row r="23" spans="2:3" x14ac:dyDescent="0.3">
      <c r="B23" s="22" t="s">
        <v>688</v>
      </c>
    </row>
    <row r="24" spans="2:3" x14ac:dyDescent="0.3">
      <c r="B24" s="22" t="s">
        <v>689</v>
      </c>
    </row>
    <row r="26" spans="2:3" x14ac:dyDescent="0.3">
      <c r="B26" t="s">
        <v>690</v>
      </c>
    </row>
    <row r="28" spans="2:3" x14ac:dyDescent="0.3">
      <c r="B28" t="s">
        <v>685</v>
      </c>
    </row>
    <row r="30" spans="2:3" x14ac:dyDescent="0.3">
      <c r="B30" s="228" t="s">
        <v>54</v>
      </c>
      <c r="C30" s="229" t="s">
        <v>691</v>
      </c>
    </row>
    <row r="31" spans="2:3" x14ac:dyDescent="0.3">
      <c r="B31" s="230">
        <v>1</v>
      </c>
      <c r="C31" s="231">
        <v>100</v>
      </c>
    </row>
    <row r="32" spans="2:3" x14ac:dyDescent="0.3">
      <c r="B32" s="230">
        <v>2</v>
      </c>
      <c r="C32" s="231">
        <v>80</v>
      </c>
    </row>
    <row r="33" spans="2:3" x14ac:dyDescent="0.3">
      <c r="B33" s="230">
        <v>3</v>
      </c>
      <c r="C33" s="231">
        <v>-20</v>
      </c>
    </row>
    <row r="34" spans="2:3" x14ac:dyDescent="0.3">
      <c r="B34" s="230">
        <v>4</v>
      </c>
      <c r="C34" s="231">
        <v>40</v>
      </c>
    </row>
    <row r="35" spans="2:3" x14ac:dyDescent="0.3">
      <c r="B35" s="232">
        <v>5</v>
      </c>
      <c r="C35" s="233">
        <v>90</v>
      </c>
    </row>
    <row r="37" spans="2:3" x14ac:dyDescent="0.3">
      <c r="B37" t="s">
        <v>692</v>
      </c>
    </row>
    <row r="41" spans="2:3" ht="18" x14ac:dyDescent="0.3">
      <c r="B41" s="21" t="s">
        <v>693</v>
      </c>
    </row>
    <row r="43" spans="2:3" x14ac:dyDescent="0.3">
      <c r="B43" t="s">
        <v>685</v>
      </c>
    </row>
    <row r="44" spans="2:3" x14ac:dyDescent="0.3">
      <c r="B44" s="22"/>
    </row>
    <row r="45" spans="2:3" x14ac:dyDescent="0.3">
      <c r="B45" s="22" t="s">
        <v>694</v>
      </c>
    </row>
    <row r="46" spans="2:3" x14ac:dyDescent="0.3">
      <c r="B46" s="22" t="s">
        <v>695</v>
      </c>
    </row>
    <row r="47" spans="2:3" x14ac:dyDescent="0.3">
      <c r="B47" s="22" t="s">
        <v>696</v>
      </c>
    </row>
    <row r="48" spans="2:3" x14ac:dyDescent="0.3">
      <c r="B48" s="22" t="s">
        <v>697</v>
      </c>
    </row>
    <row r="50" spans="2:3" x14ac:dyDescent="0.3">
      <c r="B50" s="238" t="s">
        <v>54</v>
      </c>
      <c r="C50" s="239" t="s">
        <v>691</v>
      </c>
    </row>
    <row r="51" spans="2:3" x14ac:dyDescent="0.3">
      <c r="B51" s="234">
        <v>1</v>
      </c>
      <c r="C51" s="235">
        <v>50</v>
      </c>
    </row>
    <row r="52" spans="2:3" x14ac:dyDescent="0.3">
      <c r="B52" s="234">
        <v>2</v>
      </c>
      <c r="C52" s="235">
        <v>10</v>
      </c>
    </row>
    <row r="53" spans="2:3" x14ac:dyDescent="0.3">
      <c r="B53" s="234">
        <v>3</v>
      </c>
      <c r="C53" s="235">
        <v>-20</v>
      </c>
    </row>
    <row r="54" spans="2:3" x14ac:dyDescent="0.3">
      <c r="B54" s="234">
        <v>4</v>
      </c>
      <c r="C54" s="235">
        <v>-60</v>
      </c>
    </row>
    <row r="55" spans="2:3" x14ac:dyDescent="0.3">
      <c r="B55" s="236">
        <v>5</v>
      </c>
      <c r="C55" s="237">
        <v>-90</v>
      </c>
    </row>
    <row r="57" spans="2:3" x14ac:dyDescent="0.3">
      <c r="B57" t="s">
        <v>698</v>
      </c>
    </row>
    <row r="58" spans="2:3" x14ac:dyDescent="0.3">
      <c r="B58" s="22"/>
    </row>
    <row r="59" spans="2:3" x14ac:dyDescent="0.3">
      <c r="B59" s="60" t="s">
        <v>699</v>
      </c>
    </row>
    <row r="61" spans="2:3" x14ac:dyDescent="0.3">
      <c r="B61" t="s">
        <v>700</v>
      </c>
    </row>
    <row r="63" spans="2:3" x14ac:dyDescent="0.3">
      <c r="B63" t="s">
        <v>701</v>
      </c>
    </row>
    <row r="67" spans="2:2" ht="31.2" x14ac:dyDescent="0.3">
      <c r="B67" s="131" t="s">
        <v>702</v>
      </c>
    </row>
    <row r="69" spans="2:2" x14ac:dyDescent="0.3">
      <c r="B69" t="s">
        <v>703</v>
      </c>
    </row>
    <row r="70" spans="2:2" x14ac:dyDescent="0.3">
      <c r="B70" s="22"/>
    </row>
    <row r="71" spans="2:2" x14ac:dyDescent="0.3">
      <c r="B71" s="22" t="s">
        <v>704</v>
      </c>
    </row>
    <row r="73" spans="2:2" x14ac:dyDescent="0.3">
      <c r="B73" t="s">
        <v>629</v>
      </c>
    </row>
    <row r="74" spans="2:2" x14ac:dyDescent="0.3">
      <c r="B74" s="22"/>
    </row>
    <row r="75" spans="2:2" x14ac:dyDescent="0.3">
      <c r="B75" s="60" t="s">
        <v>705</v>
      </c>
    </row>
    <row r="79" spans="2:2" ht="31.2" x14ac:dyDescent="0.3">
      <c r="B79" s="131" t="s">
        <v>706</v>
      </c>
    </row>
    <row r="81" spans="2:3" x14ac:dyDescent="0.3">
      <c r="B81" s="244" t="s">
        <v>707</v>
      </c>
      <c r="C81" s="245" t="s">
        <v>708</v>
      </c>
    </row>
    <row r="82" spans="2:3" x14ac:dyDescent="0.3">
      <c r="B82" s="240" t="s">
        <v>709</v>
      </c>
      <c r="C82" s="241" t="s">
        <v>710</v>
      </c>
    </row>
    <row r="83" spans="2:3" x14ac:dyDescent="0.3">
      <c r="B83" s="240" t="s">
        <v>711</v>
      </c>
      <c r="C83" s="241" t="s">
        <v>712</v>
      </c>
    </row>
    <row r="84" spans="2:3" x14ac:dyDescent="0.3">
      <c r="B84" s="240" t="s">
        <v>713</v>
      </c>
      <c r="C84" s="241" t="s">
        <v>714</v>
      </c>
    </row>
    <row r="85" spans="2:3" x14ac:dyDescent="0.3">
      <c r="B85" s="240" t="s">
        <v>696</v>
      </c>
      <c r="C85" s="241" t="s">
        <v>715</v>
      </c>
    </row>
    <row r="86" spans="2:3" x14ac:dyDescent="0.3">
      <c r="B86" s="242" t="s">
        <v>637</v>
      </c>
      <c r="C86" s="243" t="s">
        <v>716</v>
      </c>
    </row>
    <row r="89" spans="2:3" ht="31.2" x14ac:dyDescent="0.3">
      <c r="B89" s="131" t="s">
        <v>717</v>
      </c>
    </row>
    <row r="91" spans="2:3" x14ac:dyDescent="0.3">
      <c r="B91" t="s">
        <v>718</v>
      </c>
    </row>
    <row r="92" spans="2:3" x14ac:dyDescent="0.3">
      <c r="B92" s="22"/>
    </row>
    <row r="93" spans="2:3" x14ac:dyDescent="0.3">
      <c r="B93" s="22" t="s">
        <v>719</v>
      </c>
    </row>
    <row r="95" spans="2:3" x14ac:dyDescent="0.3">
      <c r="B95" t="s">
        <v>720</v>
      </c>
    </row>
    <row r="96" spans="2:3" x14ac:dyDescent="0.3">
      <c r="B96" s="22"/>
    </row>
    <row r="97" spans="2:3" x14ac:dyDescent="0.3">
      <c r="B97" s="22" t="s">
        <v>721</v>
      </c>
    </row>
    <row r="99" spans="2:3" x14ac:dyDescent="0.3">
      <c r="B99" t="s">
        <v>722</v>
      </c>
    </row>
    <row r="103" spans="2:3" ht="31.2" x14ac:dyDescent="0.3">
      <c r="B103" s="131" t="s">
        <v>723</v>
      </c>
    </row>
    <row r="105" spans="2:3" x14ac:dyDescent="0.3">
      <c r="B105" t="s">
        <v>724</v>
      </c>
    </row>
    <row r="107" spans="2:3" x14ac:dyDescent="0.3">
      <c r="B107" s="10" t="s">
        <v>725</v>
      </c>
      <c r="C107" s="10" t="s">
        <v>726</v>
      </c>
    </row>
    <row r="108" spans="2:3" x14ac:dyDescent="0.3">
      <c r="B108" s="130">
        <v>1</v>
      </c>
      <c r="C108" s="130" t="s">
        <v>727</v>
      </c>
    </row>
    <row r="109" spans="2:3" x14ac:dyDescent="0.3">
      <c r="B109" s="130">
        <v>2</v>
      </c>
      <c r="C109" s="130" t="s">
        <v>728</v>
      </c>
    </row>
    <row r="110" spans="2:3" x14ac:dyDescent="0.3">
      <c r="B110" s="130">
        <v>3</v>
      </c>
      <c r="C110" s="130" t="s">
        <v>729</v>
      </c>
    </row>
    <row r="111" spans="2:3" x14ac:dyDescent="0.3">
      <c r="B111" s="130">
        <v>4</v>
      </c>
      <c r="C111" s="130" t="s">
        <v>730</v>
      </c>
    </row>
    <row r="112" spans="2:3" x14ac:dyDescent="0.3">
      <c r="B112" s="130">
        <v>5</v>
      </c>
      <c r="C112" s="130" t="s">
        <v>731</v>
      </c>
    </row>
    <row r="113" spans="2:3" x14ac:dyDescent="0.3">
      <c r="B113" s="130">
        <v>6</v>
      </c>
      <c r="C113" s="130" t="s">
        <v>732</v>
      </c>
    </row>
    <row r="114" spans="2:3" x14ac:dyDescent="0.3">
      <c r="B114" s="130">
        <v>7</v>
      </c>
      <c r="C114" s="130" t="s">
        <v>733</v>
      </c>
    </row>
    <row r="116" spans="2:3" x14ac:dyDescent="0.3">
      <c r="B116" t="s">
        <v>734</v>
      </c>
    </row>
    <row r="120" spans="2:3" ht="31.2" x14ac:dyDescent="0.3">
      <c r="B120" s="131" t="s">
        <v>735</v>
      </c>
    </row>
    <row r="122" spans="2:3" x14ac:dyDescent="0.3">
      <c r="B122" s="10" t="s">
        <v>726</v>
      </c>
      <c r="C122" s="10" t="s">
        <v>736</v>
      </c>
    </row>
    <row r="123" spans="2:3" x14ac:dyDescent="0.3">
      <c r="B123" s="130" t="s">
        <v>737</v>
      </c>
      <c r="C123" s="130" t="s">
        <v>738</v>
      </c>
    </row>
    <row r="124" spans="2:3" x14ac:dyDescent="0.3">
      <c r="B124" s="130" t="s">
        <v>490</v>
      </c>
      <c r="C124" s="130" t="s">
        <v>739</v>
      </c>
    </row>
    <row r="125" spans="2:3" x14ac:dyDescent="0.3">
      <c r="B125" s="130" t="s">
        <v>740</v>
      </c>
      <c r="C125" s="130" t="s">
        <v>88</v>
      </c>
    </row>
    <row r="126" spans="2:3" x14ac:dyDescent="0.3">
      <c r="B126" s="130" t="s">
        <v>741</v>
      </c>
      <c r="C126" s="130" t="s">
        <v>742</v>
      </c>
    </row>
    <row r="127" spans="2:3" x14ac:dyDescent="0.3">
      <c r="B127" s="130" t="s">
        <v>743</v>
      </c>
      <c r="C127" s="130" t="s">
        <v>744</v>
      </c>
    </row>
    <row r="128" spans="2:3" x14ac:dyDescent="0.3">
      <c r="B128" s="130" t="s">
        <v>745</v>
      </c>
      <c r="C128" s="130" t="s">
        <v>746</v>
      </c>
    </row>
    <row r="129" spans="2:3" x14ac:dyDescent="0.3">
      <c r="B129" s="130" t="s">
        <v>747</v>
      </c>
      <c r="C129" s="130" t="s">
        <v>748</v>
      </c>
    </row>
    <row r="132" spans="2:3" ht="23.4" x14ac:dyDescent="0.3">
      <c r="B132" s="8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D16D9-2C5D-456F-B511-CA0CA2E6F88F}">
  <sheetPr>
    <tabColor rgb="FF002060"/>
    <pageSetUpPr fitToPage="1"/>
  </sheetPr>
  <dimension ref="A1:W73"/>
  <sheetViews>
    <sheetView showGridLines="0" tabSelected="1" workbookViewId="0">
      <selection activeCell="B2" sqref="B2:T52"/>
    </sheetView>
  </sheetViews>
  <sheetFormatPr defaultRowHeight="14.4" x14ac:dyDescent="0.3"/>
  <cols>
    <col min="1" max="1" width="1.88671875" customWidth="1"/>
    <col min="2" max="2" width="17.6640625" customWidth="1"/>
    <col min="3" max="3" width="11.88671875" bestFit="1" customWidth="1"/>
    <col min="5" max="5" width="11.88671875" bestFit="1" customWidth="1"/>
    <col min="6" max="11" width="15.77734375" customWidth="1"/>
    <col min="12" max="12" width="9.44140625" bestFit="1" customWidth="1"/>
    <col min="13" max="13" width="14.77734375" bestFit="1" customWidth="1"/>
    <col min="14" max="15" width="11.5546875" bestFit="1" customWidth="1"/>
    <col min="16" max="16" width="10.77734375" customWidth="1"/>
    <col min="17" max="17" width="11.5546875" bestFit="1" customWidth="1"/>
  </cols>
  <sheetData>
    <row r="1" spans="1:23" ht="6" customHeight="1" x14ac:dyDescent="0.3">
      <c r="A1" s="254"/>
      <c r="B1" s="254"/>
      <c r="C1" s="254"/>
      <c r="D1" s="254"/>
      <c r="E1" s="254"/>
      <c r="F1" s="254"/>
      <c r="G1" s="254"/>
      <c r="H1" s="254"/>
      <c r="I1" s="254"/>
      <c r="J1" s="254"/>
      <c r="K1" s="254"/>
      <c r="L1" s="254"/>
      <c r="M1" s="254"/>
      <c r="N1" s="254"/>
      <c r="O1" s="254"/>
      <c r="P1" s="254"/>
      <c r="Q1" s="255"/>
      <c r="R1" s="255"/>
      <c r="S1" s="255"/>
      <c r="T1" s="255"/>
      <c r="U1" s="255"/>
      <c r="V1" s="255"/>
      <c r="W1" s="255"/>
    </row>
    <row r="6" spans="1:23" ht="8.4" customHeight="1" x14ac:dyDescent="0.3"/>
    <row r="7" spans="1:23" ht="16.8" customHeight="1" x14ac:dyDescent="0.4">
      <c r="A7" s="261" t="s">
        <v>753</v>
      </c>
      <c r="B7" s="261"/>
      <c r="C7" s="261"/>
      <c r="D7" s="261"/>
      <c r="E7" s="261"/>
      <c r="F7" s="261"/>
      <c r="G7" s="261"/>
      <c r="H7" s="261"/>
      <c r="I7" s="261"/>
      <c r="J7" s="261"/>
      <c r="K7" s="261"/>
      <c r="L7" s="262"/>
      <c r="M7" s="262"/>
      <c r="N7" s="262"/>
      <c r="O7" s="262"/>
      <c r="P7" s="262"/>
      <c r="Q7" s="255"/>
      <c r="R7" s="255"/>
      <c r="S7" s="255"/>
      <c r="T7" s="255"/>
      <c r="U7" s="255"/>
      <c r="V7" s="255"/>
      <c r="W7" s="255"/>
    </row>
    <row r="8" spans="1:23" x14ac:dyDescent="0.3">
      <c r="F8" s="289" cm="1">
        <f t="array" ref="F8:K8">_xlfn.SEQUENCE(,6,0)</f>
        <v>0</v>
      </c>
      <c r="G8" s="289">
        <v>1</v>
      </c>
      <c r="H8" s="289">
        <v>2</v>
      </c>
      <c r="I8" s="289">
        <v>3</v>
      </c>
      <c r="J8" s="289">
        <v>4</v>
      </c>
      <c r="K8" s="289">
        <v>5</v>
      </c>
    </row>
    <row r="9" spans="1:23" ht="15" thickBot="1" x14ac:dyDescent="0.35">
      <c r="A9" t="s">
        <v>55</v>
      </c>
      <c r="B9" s="367" t="s">
        <v>570</v>
      </c>
      <c r="C9" s="367"/>
      <c r="D9" s="367"/>
      <c r="E9" s="297"/>
      <c r="F9" s="321">
        <v>2026</v>
      </c>
      <c r="G9" s="298">
        <f>F9+1</f>
        <v>2027</v>
      </c>
      <c r="H9" s="298">
        <f t="shared" ref="H9:K9" si="0">G9+1</f>
        <v>2028</v>
      </c>
      <c r="I9" s="298">
        <f t="shared" si="0"/>
        <v>2029</v>
      </c>
      <c r="J9" s="298">
        <f t="shared" si="0"/>
        <v>2030</v>
      </c>
      <c r="K9" s="298">
        <f t="shared" si="0"/>
        <v>2031</v>
      </c>
      <c r="M9" s="267" t="s">
        <v>755</v>
      </c>
      <c r="N9" s="272"/>
      <c r="O9" s="271"/>
    </row>
    <row r="10" spans="1:23" x14ac:dyDescent="0.3">
      <c r="B10" s="370" t="s">
        <v>760</v>
      </c>
      <c r="C10" s="370"/>
      <c r="D10" s="273"/>
      <c r="E10" s="273"/>
      <c r="F10" s="322">
        <v>0.14000000000000001</v>
      </c>
      <c r="G10" s="323">
        <v>0.1</v>
      </c>
      <c r="H10" s="323">
        <v>0.1</v>
      </c>
      <c r="I10" s="323">
        <v>0.08</v>
      </c>
      <c r="J10" s="323">
        <v>0.08</v>
      </c>
      <c r="K10" s="323">
        <v>0.06</v>
      </c>
      <c r="M10" s="265"/>
      <c r="N10" s="270"/>
      <c r="O10" s="266"/>
    </row>
    <row r="11" spans="1:23" x14ac:dyDescent="0.3">
      <c r="B11" s="368" t="s">
        <v>307</v>
      </c>
      <c r="C11" s="368"/>
      <c r="D11" s="280"/>
      <c r="E11" s="280"/>
      <c r="F11" s="304">
        <f>'Historical Analysis'!L11</f>
        <v>23154.6</v>
      </c>
      <c r="G11" s="282">
        <f>F11*(1+G10)</f>
        <v>25470.06</v>
      </c>
      <c r="H11" s="282">
        <f>G11*(1+H10)</f>
        <v>28017.066000000003</v>
      </c>
      <c r="I11" s="282">
        <f t="shared" ref="I11:K11" si="1">H11*(1+I10)</f>
        <v>30258.431280000004</v>
      </c>
      <c r="J11" s="282">
        <f t="shared" si="1"/>
        <v>32679.105782400005</v>
      </c>
      <c r="K11" s="282">
        <f t="shared" si="1"/>
        <v>34639.852129344006</v>
      </c>
      <c r="M11" s="265" t="s">
        <v>756</v>
      </c>
      <c r="N11" s="324">
        <v>0.1</v>
      </c>
      <c r="O11" s="325">
        <v>0.06</v>
      </c>
    </row>
    <row r="12" spans="1:23" x14ac:dyDescent="0.3">
      <c r="B12" s="260" t="s">
        <v>58</v>
      </c>
      <c r="C12" s="260"/>
      <c r="F12" s="305">
        <f>'Historical Analysis'!L13</f>
        <v>13627.64</v>
      </c>
      <c r="G12" s="12">
        <f>G11*$N$12</f>
        <v>11461.527</v>
      </c>
      <c r="H12" s="12">
        <f t="shared" ref="H12" si="2">H11*$N$12</f>
        <v>12607.679700000001</v>
      </c>
      <c r="I12" s="12">
        <f>I11*$O$12</f>
        <v>15129.215640000002</v>
      </c>
      <c r="J12" s="12">
        <f t="shared" ref="J12:K12" si="3">J11*$O$12</f>
        <v>16339.552891200003</v>
      </c>
      <c r="K12" s="12">
        <f t="shared" si="3"/>
        <v>17319.926064672003</v>
      </c>
      <c r="M12" s="265" t="s">
        <v>58</v>
      </c>
      <c r="N12" s="324">
        <v>0.45</v>
      </c>
      <c r="O12" s="325">
        <v>0.5</v>
      </c>
    </row>
    <row r="13" spans="1:23" x14ac:dyDescent="0.3">
      <c r="B13" s="369" t="s">
        <v>60</v>
      </c>
      <c r="C13" s="369"/>
      <c r="D13" s="211"/>
      <c r="E13" s="211"/>
      <c r="F13" s="306">
        <f>F11-F12</f>
        <v>9526.9599999999991</v>
      </c>
      <c r="G13" s="264">
        <f>G11-G12</f>
        <v>14008.533000000001</v>
      </c>
      <c r="H13" s="264">
        <f t="shared" ref="H13:K13" si="4">H11-H12</f>
        <v>15409.386300000002</v>
      </c>
      <c r="I13" s="264">
        <f t="shared" si="4"/>
        <v>15129.215640000002</v>
      </c>
      <c r="J13" s="264">
        <f t="shared" si="4"/>
        <v>16339.552891200003</v>
      </c>
      <c r="K13" s="264">
        <f t="shared" si="4"/>
        <v>17319.926064672003</v>
      </c>
      <c r="M13" s="265" t="s">
        <v>757</v>
      </c>
      <c r="N13" s="324">
        <v>0.18</v>
      </c>
      <c r="O13" s="325">
        <v>0.2</v>
      </c>
    </row>
    <row r="14" spans="1:23" x14ac:dyDescent="0.3">
      <c r="B14" s="371" t="s">
        <v>754</v>
      </c>
      <c r="C14" s="371"/>
      <c r="D14" s="274"/>
      <c r="E14" s="274"/>
      <c r="F14" s="307">
        <f>'Historical Analysis'!L18</f>
        <v>4780.8999999999996</v>
      </c>
      <c r="G14" s="275">
        <f>G11*$N$13</f>
        <v>4584.6108000000004</v>
      </c>
      <c r="H14" s="275">
        <f>H11*$N$13</f>
        <v>5043.0718800000004</v>
      </c>
      <c r="I14" s="275">
        <f>I11*$O$13</f>
        <v>6051.6862560000009</v>
      </c>
      <c r="J14" s="275">
        <f t="shared" ref="J14:K14" si="5">J11*$O$13</f>
        <v>6535.8211564800013</v>
      </c>
      <c r="K14" s="275">
        <f t="shared" si="5"/>
        <v>6927.9704258688016</v>
      </c>
      <c r="M14" s="265" t="s">
        <v>759</v>
      </c>
      <c r="N14" s="326">
        <v>2.5000000000000001E-2</v>
      </c>
      <c r="O14" s="325">
        <v>0.03</v>
      </c>
    </row>
    <row r="15" spans="1:23" x14ac:dyDescent="0.3">
      <c r="B15" s="276" t="s">
        <v>758</v>
      </c>
      <c r="C15" s="276"/>
      <c r="D15" s="277"/>
      <c r="E15" s="277"/>
      <c r="F15" s="308">
        <f>F14/F11</f>
        <v>0.20647733063840445</v>
      </c>
      <c r="G15" s="278">
        <f>G14/G11</f>
        <v>0.18</v>
      </c>
      <c r="H15" s="278">
        <f t="shared" ref="H15:K15" si="6">H14/H11</f>
        <v>0.18</v>
      </c>
      <c r="I15" s="279">
        <f t="shared" si="6"/>
        <v>0.2</v>
      </c>
      <c r="J15" s="279">
        <f t="shared" si="6"/>
        <v>0.2</v>
      </c>
      <c r="K15" s="279">
        <f t="shared" si="6"/>
        <v>0.2</v>
      </c>
      <c r="M15" s="265" t="s">
        <v>69</v>
      </c>
      <c r="N15" s="324">
        <v>0.25</v>
      </c>
      <c r="O15" s="325">
        <v>0.26</v>
      </c>
    </row>
    <row r="16" spans="1:23" x14ac:dyDescent="0.3">
      <c r="B16" s="368" t="s">
        <v>315</v>
      </c>
      <c r="C16" s="368"/>
      <c r="D16" s="280"/>
      <c r="E16" s="280"/>
      <c r="F16" s="304">
        <f>F13-F14</f>
        <v>4746.0599999999995</v>
      </c>
      <c r="G16" s="303">
        <f t="shared" ref="G16:K16" si="7">G13-G14</f>
        <v>9423.9222000000009</v>
      </c>
      <c r="H16" s="281">
        <f t="shared" si="7"/>
        <v>10366.314420000002</v>
      </c>
      <c r="I16" s="281">
        <f t="shared" si="7"/>
        <v>9077.5293840000013</v>
      </c>
      <c r="J16" s="281">
        <f t="shared" si="7"/>
        <v>9803.7317347200005</v>
      </c>
      <c r="K16" s="281">
        <f t="shared" si="7"/>
        <v>10391.955638803202</v>
      </c>
      <c r="M16" s="265" t="s">
        <v>327</v>
      </c>
      <c r="N16" s="324">
        <v>0.05</v>
      </c>
      <c r="O16" s="325">
        <v>3.5000000000000003E-2</v>
      </c>
    </row>
    <row r="17" spans="2:15" x14ac:dyDescent="0.3">
      <c r="B17" s="283" t="s">
        <v>69</v>
      </c>
      <c r="C17" s="283"/>
      <c r="D17" s="249"/>
      <c r="E17" s="249"/>
      <c r="F17" s="327">
        <v>0.25</v>
      </c>
      <c r="G17" s="284">
        <v>0.26</v>
      </c>
      <c r="H17" s="284">
        <f t="shared" ref="H17:K17" si="8">G17</f>
        <v>0.26</v>
      </c>
      <c r="I17" s="284">
        <v>0.3</v>
      </c>
      <c r="J17" s="284">
        <v>0.3</v>
      </c>
      <c r="K17" s="284">
        <v>0.3</v>
      </c>
      <c r="M17" s="265" t="s">
        <v>762</v>
      </c>
      <c r="N17" s="326">
        <v>1.4999999999999999E-2</v>
      </c>
      <c r="O17" s="351">
        <v>5.0000000000000001E-3</v>
      </c>
    </row>
    <row r="18" spans="2:15" x14ac:dyDescent="0.3">
      <c r="B18" s="280" t="s">
        <v>349</v>
      </c>
      <c r="C18" s="280"/>
      <c r="D18" s="280"/>
      <c r="E18" s="280"/>
      <c r="F18" s="304">
        <f>F16*(1-F17)</f>
        <v>3559.5449999999996</v>
      </c>
      <c r="G18" s="282">
        <f>G16*(1-G17)</f>
        <v>6973.7024280000005</v>
      </c>
      <c r="H18" s="282">
        <f t="shared" ref="H18:K18" si="9">H16*(1-H17)</f>
        <v>7671.072670800002</v>
      </c>
      <c r="I18" s="282">
        <f t="shared" si="9"/>
        <v>6354.2705688000005</v>
      </c>
      <c r="J18" s="282">
        <f t="shared" si="9"/>
        <v>6862.6122143040002</v>
      </c>
      <c r="K18" s="282">
        <f t="shared" si="9"/>
        <v>7274.3689471622401</v>
      </c>
      <c r="M18" s="265" t="s">
        <v>765</v>
      </c>
      <c r="N18" s="324">
        <v>0.05</v>
      </c>
      <c r="O18" s="325">
        <v>0.02</v>
      </c>
    </row>
    <row r="19" spans="2:15" x14ac:dyDescent="0.3">
      <c r="B19" s="371" t="s">
        <v>21</v>
      </c>
      <c r="C19" s="371"/>
      <c r="D19" s="274"/>
      <c r="E19" s="274"/>
      <c r="F19" s="307">
        <f>'Historical Analysis'!L28</f>
        <v>699.23</v>
      </c>
      <c r="G19" s="275">
        <f>G11*N14</f>
        <v>636.75150000000008</v>
      </c>
      <c r="H19" s="275">
        <f>H11*O14</f>
        <v>840.51197999999999</v>
      </c>
      <c r="I19" s="275">
        <f>I11*$O$14</f>
        <v>907.75293840000006</v>
      </c>
      <c r="J19" s="275">
        <f>J11*$O$14</f>
        <v>980.37317347200008</v>
      </c>
      <c r="K19" s="275">
        <f>K11*$O$14</f>
        <v>1039.1955638803202</v>
      </c>
    </row>
    <row r="20" spans="2:15" x14ac:dyDescent="0.3">
      <c r="B20" s="211" t="s">
        <v>327</v>
      </c>
      <c r="C20" s="211"/>
      <c r="D20" s="211"/>
      <c r="E20" s="211"/>
      <c r="F20" s="306">
        <f>SUM('Historical Analysis'!L99:L100)*-1</f>
        <v>2005</v>
      </c>
      <c r="G20" s="264">
        <f>G11*$N$16</f>
        <v>1273.5030000000002</v>
      </c>
      <c r="H20" s="264">
        <f>H11*$N$16</f>
        <v>1400.8533000000002</v>
      </c>
      <c r="I20" s="264">
        <f>I11*$O$16</f>
        <v>1059.0450948000002</v>
      </c>
      <c r="J20" s="264">
        <f>J11*$O$16</f>
        <v>1143.7687023840003</v>
      </c>
      <c r="K20" s="264">
        <f>K11*$O$16</f>
        <v>1212.3948245270403</v>
      </c>
    </row>
    <row r="21" spans="2:15" x14ac:dyDescent="0.3">
      <c r="B21" s="369" t="s">
        <v>763</v>
      </c>
      <c r="C21" s="369"/>
      <c r="D21" s="211"/>
      <c r="E21" s="211"/>
      <c r="F21" s="328">
        <v>2764.69</v>
      </c>
      <c r="G21" s="264"/>
      <c r="H21" s="264"/>
      <c r="I21" s="264"/>
      <c r="J21" s="264"/>
      <c r="K21" s="264"/>
    </row>
    <row r="22" spans="2:15" x14ac:dyDescent="0.3">
      <c r="B22" s="369" t="s">
        <v>761</v>
      </c>
      <c r="C22" s="369"/>
      <c r="D22" s="211"/>
      <c r="E22" s="211"/>
      <c r="F22" s="270"/>
      <c r="G22" s="264">
        <f>G11*$N$17</f>
        <v>382.05090000000001</v>
      </c>
      <c r="H22" s="264">
        <f>H11*$N$17</f>
        <v>420.25599</v>
      </c>
      <c r="I22" s="264">
        <f>I11*$O$17</f>
        <v>151.29215640000004</v>
      </c>
      <c r="J22" s="264">
        <f t="shared" ref="J22:K22" si="10">J11*$O$17</f>
        <v>163.39552891200003</v>
      </c>
      <c r="K22" s="264">
        <f t="shared" si="10"/>
        <v>173.19926064672003</v>
      </c>
    </row>
    <row r="23" spans="2:15" x14ac:dyDescent="0.3">
      <c r="B23" s="372" t="s">
        <v>614</v>
      </c>
      <c r="C23" s="372"/>
      <c r="D23" s="285"/>
      <c r="E23" s="285"/>
      <c r="F23" s="309">
        <f>F20+F22</f>
        <v>2005</v>
      </c>
      <c r="G23" s="286">
        <f>G20+G22</f>
        <v>1655.5539000000001</v>
      </c>
      <c r="H23" s="286">
        <f t="shared" ref="H23:K23" si="11">H20+H22</f>
        <v>1821.1092900000003</v>
      </c>
      <c r="I23" s="286">
        <f t="shared" si="11"/>
        <v>1210.3372512000003</v>
      </c>
      <c r="J23" s="286">
        <f t="shared" si="11"/>
        <v>1307.1642312960003</v>
      </c>
      <c r="K23" s="286">
        <f t="shared" si="11"/>
        <v>1385.5940851737603</v>
      </c>
    </row>
    <row r="24" spans="2:15" x14ac:dyDescent="0.3">
      <c r="B24" s="216" t="s">
        <v>764</v>
      </c>
      <c r="C24" s="216"/>
      <c r="D24" s="216"/>
      <c r="E24" s="216"/>
      <c r="F24" s="310">
        <f>F18+F19-F23</f>
        <v>2253.7749999999996</v>
      </c>
      <c r="G24" s="302">
        <f t="shared" ref="G24:K24" si="12">G18+G19-G23</f>
        <v>5954.9000280000009</v>
      </c>
      <c r="H24" s="302">
        <f t="shared" si="12"/>
        <v>6690.475360800001</v>
      </c>
      <c r="I24" s="302">
        <f t="shared" si="12"/>
        <v>6051.686256</v>
      </c>
      <c r="J24" s="302">
        <f t="shared" si="12"/>
        <v>6535.8211564800004</v>
      </c>
      <c r="K24" s="302">
        <f t="shared" si="12"/>
        <v>6927.9704258688007</v>
      </c>
    </row>
    <row r="25" spans="2:15" x14ac:dyDescent="0.3">
      <c r="B25" s="371" t="s">
        <v>769</v>
      </c>
      <c r="C25" s="371"/>
      <c r="D25" s="274"/>
      <c r="E25" s="274"/>
      <c r="F25" s="311">
        <f>WACC!K48</f>
        <v>0.12109174403503153</v>
      </c>
      <c r="G25" s="274"/>
      <c r="H25" s="274"/>
      <c r="I25" s="274"/>
      <c r="J25" s="274"/>
      <c r="K25" s="274"/>
    </row>
    <row r="26" spans="2:15" x14ac:dyDescent="0.3">
      <c r="B26" s="299" t="s">
        <v>665</v>
      </c>
      <c r="C26" s="299"/>
      <c r="D26" s="299"/>
      <c r="E26" s="299"/>
      <c r="F26" s="312">
        <f>F24/(1+$F$25)^F8</f>
        <v>2253.7749999999996</v>
      </c>
      <c r="G26" s="300">
        <f>G24/(1+$F$25)^G8</f>
        <v>5311.6973340354234</v>
      </c>
      <c r="H26" s="300">
        <f>H24/(1+$F$25)^H8</f>
        <v>5323.2230856422093</v>
      </c>
      <c r="I26" s="300">
        <f t="shared" ref="I26:K26" si="13">I24/(1+$F$25)^I8</f>
        <v>4294.8988617333926</v>
      </c>
      <c r="J26" s="300">
        <f t="shared" si="13"/>
        <v>4137.4765226414165</v>
      </c>
      <c r="K26" s="300">
        <f t="shared" si="13"/>
        <v>3912.0126763353073</v>
      </c>
    </row>
    <row r="27" spans="2:15" x14ac:dyDescent="0.3">
      <c r="B27" s="301"/>
      <c r="C27" s="301"/>
      <c r="D27" s="301"/>
      <c r="E27" s="301"/>
      <c r="F27" s="301"/>
      <c r="G27" s="301"/>
      <c r="H27" s="301"/>
      <c r="I27" s="301"/>
      <c r="J27" s="301"/>
      <c r="K27" s="301"/>
    </row>
    <row r="29" spans="2:15" ht="18" x14ac:dyDescent="0.35">
      <c r="B29" s="373" t="s">
        <v>766</v>
      </c>
      <c r="C29" s="373"/>
      <c r="D29" s="373"/>
      <c r="E29" s="373"/>
      <c r="F29" s="373"/>
      <c r="G29" s="288"/>
      <c r="H29" s="373" t="s">
        <v>767</v>
      </c>
      <c r="I29" s="373"/>
      <c r="J29" s="373"/>
      <c r="K29" s="313"/>
    </row>
    <row r="30" spans="2:15" ht="15" thickBot="1" x14ac:dyDescent="0.35"/>
    <row r="31" spans="2:15" ht="15.6" x14ac:dyDescent="0.35">
      <c r="B31" s="211" t="s">
        <v>768</v>
      </c>
      <c r="C31" s="211"/>
      <c r="D31" s="211"/>
      <c r="E31" s="264">
        <f>K26*(1+K8)</f>
        <v>23472.076058011844</v>
      </c>
      <c r="G31" s="314" t="s">
        <v>665</v>
      </c>
      <c r="H31" s="314"/>
      <c r="I31" s="294">
        <f>SUM(G26:K26)</f>
        <v>22979.30848038775</v>
      </c>
      <c r="K31" s="12"/>
    </row>
    <row r="32" spans="2:15" x14ac:dyDescent="0.3">
      <c r="B32" s="211" t="s">
        <v>408</v>
      </c>
      <c r="C32" s="211"/>
      <c r="D32" s="211"/>
      <c r="E32" s="213">
        <f>WACC!K48</f>
        <v>0.12109174403503153</v>
      </c>
      <c r="G32" s="263" t="s">
        <v>771</v>
      </c>
      <c r="H32" s="263"/>
      <c r="I32" s="264">
        <f>E39</f>
        <v>163444.04097109076</v>
      </c>
    </row>
    <row r="33" spans="2:16" ht="15" thickBot="1" x14ac:dyDescent="0.35">
      <c r="B33" s="211" t="s">
        <v>765</v>
      </c>
      <c r="C33" s="211"/>
      <c r="D33" s="211"/>
      <c r="E33" s="212">
        <v>0.04</v>
      </c>
      <c r="G33" s="268"/>
      <c r="H33" s="268"/>
      <c r="I33" s="268"/>
    </row>
    <row r="34" spans="2:16" ht="15" thickBot="1" x14ac:dyDescent="0.35">
      <c r="B34" s="269"/>
      <c r="C34" s="269"/>
      <c r="D34" s="269"/>
      <c r="E34" s="269"/>
      <c r="G34" s="290" t="s">
        <v>283</v>
      </c>
      <c r="H34" s="290"/>
      <c r="I34" s="291">
        <f>SUM(I31:I32)</f>
        <v>186423.34945147851</v>
      </c>
    </row>
    <row r="35" spans="2:16" ht="20.399999999999999" thickBot="1" x14ac:dyDescent="0.45">
      <c r="B35" s="290" t="s">
        <v>770</v>
      </c>
      <c r="C35" s="290"/>
      <c r="D35" s="290"/>
      <c r="E35" s="291">
        <f>E31/(E32-E33)</f>
        <v>289450.87243248755</v>
      </c>
      <c r="G35" s="274"/>
      <c r="H35" s="274"/>
      <c r="I35" s="274"/>
      <c r="M35" s="374" t="s">
        <v>777</v>
      </c>
      <c r="N35" s="374"/>
    </row>
    <row r="36" spans="2:16" x14ac:dyDescent="0.3">
      <c r="G36" s="211" t="s">
        <v>362</v>
      </c>
      <c r="H36" s="211"/>
      <c r="I36" s="264">
        <f>'Historical Analysis'!L77</f>
        <v>1340.87</v>
      </c>
      <c r="K36" s="318" t="s">
        <v>778</v>
      </c>
      <c r="L36" s="319"/>
      <c r="M36" s="375" t="s">
        <v>408</v>
      </c>
      <c r="N36" s="375"/>
      <c r="O36" s="319"/>
      <c r="P36" s="319"/>
    </row>
    <row r="37" spans="2:16" x14ac:dyDescent="0.3">
      <c r="B37" s="211" t="s">
        <v>54</v>
      </c>
      <c r="C37" s="211"/>
      <c r="D37" s="211"/>
      <c r="E37" s="211">
        <f>K8</f>
        <v>5</v>
      </c>
      <c r="G37" s="211" t="s">
        <v>772</v>
      </c>
      <c r="H37" s="211"/>
      <c r="I37" s="264">
        <f>'Historical Analysis'!L65</f>
        <v>444.16</v>
      </c>
      <c r="K37" s="320">
        <f>I43</f>
        <v>971.41855109993446</v>
      </c>
      <c r="L37" s="329">
        <v>0.105</v>
      </c>
      <c r="M37" s="329">
        <v>0.1211</v>
      </c>
      <c r="N37" s="329">
        <v>0.13500000000000001</v>
      </c>
      <c r="O37" s="330">
        <v>0.14000000000000001</v>
      </c>
      <c r="P37" s="330">
        <v>0.15</v>
      </c>
    </row>
    <row r="38" spans="2:16" x14ac:dyDescent="0.3">
      <c r="B38" s="211"/>
      <c r="C38" s="211"/>
      <c r="D38" s="211"/>
      <c r="E38" s="211"/>
      <c r="G38" s="211"/>
      <c r="H38" s="211"/>
      <c r="I38" s="211"/>
      <c r="K38" s="331">
        <v>0.03</v>
      </c>
      <c r="L38" s="134">
        <f t="dataTable" ref="L38:P42" dt2D="1" dtr="1" r1="F25" r2="E33"/>
        <v>939.93106490391085</v>
      </c>
      <c r="M38" s="134">
        <v>878.33918712269724</v>
      </c>
      <c r="N38" s="134">
        <v>829.19324449187968</v>
      </c>
      <c r="O38" s="134">
        <v>812.36437570783812</v>
      </c>
      <c r="P38" s="134">
        <v>779.97803049855281</v>
      </c>
    </row>
    <row r="39" spans="2:16" ht="15" thickBot="1" x14ac:dyDescent="0.35">
      <c r="B39" s="296" t="s">
        <v>666</v>
      </c>
      <c r="C39" s="296"/>
      <c r="D39" s="292"/>
      <c r="E39" s="293">
        <f>E35/(1+E32)^E37</f>
        <v>163444.04097109076</v>
      </c>
      <c r="G39" s="292" t="s">
        <v>286</v>
      </c>
      <c r="H39" s="292"/>
      <c r="I39" s="293">
        <f>I34+I36-I37</f>
        <v>187320.0594514785</v>
      </c>
      <c r="K39" s="331">
        <v>0.04</v>
      </c>
      <c r="L39" s="134">
        <v>1039.9556046385551</v>
      </c>
      <c r="M39" s="336">
        <v>971.38486171049851</v>
      </c>
      <c r="N39" s="134">
        <v>916.67926136347569</v>
      </c>
      <c r="O39" s="134">
        <v>897.94859533867577</v>
      </c>
      <c r="P39" s="134">
        <v>861.90535077991842</v>
      </c>
    </row>
    <row r="40" spans="2:16" x14ac:dyDescent="0.3">
      <c r="K40" s="331">
        <v>0.05</v>
      </c>
      <c r="L40" s="134">
        <v>1168.1197099703959</v>
      </c>
      <c r="M40" s="335">
        <v>1090.6067613581188</v>
      </c>
      <c r="N40" s="134">
        <v>1028.7774235858694</v>
      </c>
      <c r="O40" s="134">
        <v>1007.6099341322291</v>
      </c>
      <c r="P40" s="134">
        <v>966.88100709338198</v>
      </c>
    </row>
    <row r="41" spans="2:16" x14ac:dyDescent="0.3">
      <c r="G41" s="211" t="s">
        <v>773</v>
      </c>
      <c r="H41" s="211"/>
      <c r="I41" s="295">
        <f>'Data Sheet'!B6</f>
        <v>192.83146202980839</v>
      </c>
      <c r="K41" s="331">
        <v>0.06</v>
      </c>
      <c r="L41" s="134">
        <v>1338.2417287179508</v>
      </c>
      <c r="M41" s="134">
        <v>1248.8591066185718</v>
      </c>
      <c r="N41" s="134">
        <v>1177.5738873522866</v>
      </c>
      <c r="O41" s="134">
        <v>1153.1718157980474</v>
      </c>
      <c r="P41" s="134">
        <v>1106.223224051527</v>
      </c>
    </row>
    <row r="42" spans="2:16" ht="15" thickBot="1" x14ac:dyDescent="0.35">
      <c r="G42" s="268"/>
      <c r="H42" s="268"/>
      <c r="I42" s="268"/>
      <c r="K42" s="333">
        <v>7.0000000000000007E-2</v>
      </c>
      <c r="L42" s="334">
        <v>1574.9584672037513</v>
      </c>
      <c r="M42" s="334">
        <v>1469.0597561498466</v>
      </c>
      <c r="N42" s="334">
        <v>1384.6171252606846</v>
      </c>
      <c r="O42" s="334">
        <v>1355.7142857820143</v>
      </c>
      <c r="P42" s="334">
        <v>1300.1113249249304</v>
      </c>
    </row>
    <row r="43" spans="2:16" ht="15" thickBot="1" x14ac:dyDescent="0.35">
      <c r="G43" s="315" t="s">
        <v>774</v>
      </c>
      <c r="H43" s="315"/>
      <c r="I43" s="291">
        <f>I39/I41</f>
        <v>971.41855109993446</v>
      </c>
    </row>
    <row r="45" spans="2:16" x14ac:dyDescent="0.3">
      <c r="G45" s="211" t="s">
        <v>775</v>
      </c>
      <c r="H45" s="211"/>
      <c r="I45" s="211">
        <f>'Data Sheet'!B8</f>
        <v>1409</v>
      </c>
    </row>
    <row r="46" spans="2:16" x14ac:dyDescent="0.3">
      <c r="G46" s="316" t="s">
        <v>776</v>
      </c>
      <c r="H46" s="316"/>
      <c r="I46" s="317">
        <f>I45/I43-1</f>
        <v>0.45045613798974027</v>
      </c>
    </row>
    <row r="50" spans="1:16" ht="7.8" customHeight="1" x14ac:dyDescent="0.3">
      <c r="A50" s="252"/>
      <c r="B50" s="252"/>
      <c r="C50" s="252"/>
      <c r="D50" s="252"/>
      <c r="E50" s="252"/>
      <c r="F50" s="252"/>
      <c r="G50" s="252"/>
      <c r="H50" s="252"/>
      <c r="I50" s="252"/>
      <c r="J50" s="252"/>
      <c r="K50" s="252"/>
      <c r="L50" s="252"/>
      <c r="M50" s="252"/>
      <c r="N50" s="252"/>
      <c r="O50" s="252"/>
      <c r="P50" s="252"/>
    </row>
    <row r="73" spans="4:4" x14ac:dyDescent="0.3">
      <c r="D73" s="28"/>
    </row>
  </sheetData>
  <mergeCells count="15">
    <mergeCell ref="H29:J29"/>
    <mergeCell ref="B29:F29"/>
    <mergeCell ref="M35:N35"/>
    <mergeCell ref="M36:N36"/>
    <mergeCell ref="B25:C25"/>
    <mergeCell ref="B16:C16"/>
    <mergeCell ref="B19:C19"/>
    <mergeCell ref="B22:C22"/>
    <mergeCell ref="B23:C23"/>
    <mergeCell ref="B21:C21"/>
    <mergeCell ref="B9:D9"/>
    <mergeCell ref="B11:C11"/>
    <mergeCell ref="B13:C13"/>
    <mergeCell ref="B10:C10"/>
    <mergeCell ref="B14:C14"/>
  </mergeCells>
  <pageMargins left="0.7" right="0.7" top="0.75" bottom="0.75" header="0.3" footer="0.3"/>
  <pageSetup paperSize="121" scale="87"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F13E5-DFEC-4CA2-953C-3E8591BBDAA4}">
  <dimension ref="B2:N21"/>
  <sheetViews>
    <sheetView workbookViewId="0">
      <selection activeCell="B22" sqref="B22"/>
    </sheetView>
  </sheetViews>
  <sheetFormatPr defaultRowHeight="14.4" x14ac:dyDescent="0.3"/>
  <cols>
    <col min="2" max="2" width="17.44140625" bestFit="1" customWidth="1"/>
    <col min="3" max="4" width="5.6640625" bestFit="1" customWidth="1"/>
    <col min="5" max="14" width="6.44140625" bestFit="1" customWidth="1"/>
  </cols>
  <sheetData>
    <row r="2" spans="2:14" x14ac:dyDescent="0.3">
      <c r="B2" t="s">
        <v>763</v>
      </c>
    </row>
    <row r="3" spans="2:14" x14ac:dyDescent="0.3">
      <c r="B3" s="337"/>
      <c r="C3" s="345">
        <v>2015</v>
      </c>
      <c r="D3" s="345">
        <f t="shared" ref="D3:N3" si="0">C3+1</f>
        <v>2016</v>
      </c>
      <c r="E3" s="345">
        <f t="shared" si="0"/>
        <v>2017</v>
      </c>
      <c r="F3" s="345">
        <f t="shared" si="0"/>
        <v>2018</v>
      </c>
      <c r="G3" s="345">
        <f t="shared" si="0"/>
        <v>2019</v>
      </c>
      <c r="H3" s="345">
        <f t="shared" si="0"/>
        <v>2020</v>
      </c>
      <c r="I3" s="345">
        <f t="shared" si="0"/>
        <v>2021</v>
      </c>
      <c r="J3" s="345">
        <f t="shared" si="0"/>
        <v>2022</v>
      </c>
      <c r="K3" s="345">
        <f t="shared" si="0"/>
        <v>2023</v>
      </c>
      <c r="L3" s="345">
        <f t="shared" si="0"/>
        <v>2024</v>
      </c>
      <c r="M3" s="345">
        <f t="shared" si="0"/>
        <v>2025</v>
      </c>
      <c r="N3" s="346">
        <f t="shared" si="0"/>
        <v>2026</v>
      </c>
    </row>
    <row r="4" spans="2:14" x14ac:dyDescent="0.3">
      <c r="B4" s="338" t="s">
        <v>781</v>
      </c>
      <c r="C4" s="270">
        <v>821</v>
      </c>
      <c r="D4" s="270">
        <v>940</v>
      </c>
      <c r="E4" s="270">
        <v>902</v>
      </c>
      <c r="F4" s="270">
        <v>966</v>
      </c>
      <c r="G4" s="339">
        <v>1283</v>
      </c>
      <c r="H4" s="339">
        <v>1416</v>
      </c>
      <c r="I4" s="339">
        <v>1593</v>
      </c>
      <c r="J4" s="339">
        <v>1929</v>
      </c>
      <c r="K4" s="339">
        <v>1929</v>
      </c>
      <c r="L4" s="339">
        <v>2089</v>
      </c>
      <c r="M4" s="339">
        <v>2850</v>
      </c>
      <c r="N4" s="340">
        <v>2569</v>
      </c>
    </row>
    <row r="5" spans="2:14" x14ac:dyDescent="0.3">
      <c r="B5" s="338" t="s">
        <v>780</v>
      </c>
      <c r="C5" s="270">
        <v>78</v>
      </c>
      <c r="D5" s="270">
        <v>98</v>
      </c>
      <c r="E5" s="270">
        <v>89</v>
      </c>
      <c r="F5" s="270">
        <v>125</v>
      </c>
      <c r="G5" s="270">
        <v>124</v>
      </c>
      <c r="H5" s="270">
        <v>165</v>
      </c>
      <c r="I5" s="270">
        <v>166</v>
      </c>
      <c r="J5" s="270">
        <v>192</v>
      </c>
      <c r="K5" s="270">
        <v>192</v>
      </c>
      <c r="L5" s="270">
        <v>300</v>
      </c>
      <c r="M5" s="270">
        <v>363</v>
      </c>
      <c r="N5" s="341">
        <v>329</v>
      </c>
    </row>
    <row r="6" spans="2:14" x14ac:dyDescent="0.3">
      <c r="B6" s="338" t="s">
        <v>567</v>
      </c>
      <c r="C6" s="270">
        <v>61</v>
      </c>
      <c r="D6" s="270">
        <v>21</v>
      </c>
      <c r="E6" s="270">
        <v>43</v>
      </c>
      <c r="F6" s="270">
        <v>48</v>
      </c>
      <c r="G6" s="270">
        <v>35</v>
      </c>
      <c r="H6" s="270">
        <v>47</v>
      </c>
      <c r="I6" s="270">
        <v>93</v>
      </c>
      <c r="J6" s="270">
        <v>68</v>
      </c>
      <c r="K6" s="270">
        <v>66</v>
      </c>
      <c r="L6" s="270">
        <v>76</v>
      </c>
      <c r="M6" s="270">
        <v>81</v>
      </c>
      <c r="N6" s="341">
        <v>100</v>
      </c>
    </row>
    <row r="7" spans="2:14" x14ac:dyDescent="0.3">
      <c r="B7" s="338"/>
      <c r="C7" s="270"/>
      <c r="D7" s="270"/>
      <c r="E7" s="270"/>
      <c r="F7" s="270"/>
      <c r="G7" s="270"/>
      <c r="H7" s="270"/>
      <c r="I7" s="270"/>
      <c r="J7" s="270"/>
      <c r="K7" s="270"/>
      <c r="L7" s="270"/>
      <c r="M7" s="270"/>
      <c r="N7" s="341"/>
    </row>
    <row r="8" spans="2:14" x14ac:dyDescent="0.3">
      <c r="B8" s="348" t="s">
        <v>782</v>
      </c>
      <c r="C8" s="349">
        <f t="shared" ref="C8:N8" si="1">SUM(C4:C6)</f>
        <v>960</v>
      </c>
      <c r="D8" s="349">
        <f t="shared" si="1"/>
        <v>1059</v>
      </c>
      <c r="E8" s="349">
        <f t="shared" si="1"/>
        <v>1034</v>
      </c>
      <c r="F8" s="349">
        <f t="shared" si="1"/>
        <v>1139</v>
      </c>
      <c r="G8" s="349">
        <f t="shared" si="1"/>
        <v>1442</v>
      </c>
      <c r="H8" s="349">
        <f t="shared" si="1"/>
        <v>1628</v>
      </c>
      <c r="I8" s="349">
        <f t="shared" si="1"/>
        <v>1852</v>
      </c>
      <c r="J8" s="349">
        <f t="shared" si="1"/>
        <v>2189</v>
      </c>
      <c r="K8" s="349">
        <f t="shared" si="1"/>
        <v>2187</v>
      </c>
      <c r="L8" s="349">
        <f t="shared" si="1"/>
        <v>2465</v>
      </c>
      <c r="M8" s="349">
        <f t="shared" si="1"/>
        <v>3294</v>
      </c>
      <c r="N8" s="350">
        <f t="shared" si="1"/>
        <v>2998</v>
      </c>
    </row>
    <row r="9" spans="2:14" x14ac:dyDescent="0.3">
      <c r="B9" s="338"/>
      <c r="C9" s="270"/>
      <c r="D9" s="270"/>
      <c r="E9" s="270"/>
      <c r="F9" s="270"/>
      <c r="G9" s="270"/>
      <c r="H9" s="270"/>
      <c r="I9" s="270"/>
      <c r="J9" s="270"/>
      <c r="K9" s="270"/>
      <c r="L9" s="270"/>
      <c r="M9" s="270"/>
      <c r="N9" s="341"/>
    </row>
    <row r="10" spans="2:14" x14ac:dyDescent="0.3">
      <c r="B10" s="338" t="s">
        <v>783</v>
      </c>
      <c r="C10" s="270"/>
      <c r="D10" s="270"/>
      <c r="E10" s="270"/>
      <c r="F10" s="270"/>
      <c r="G10" s="270"/>
      <c r="H10" s="270"/>
      <c r="I10" s="270"/>
      <c r="J10" s="270"/>
      <c r="K10" s="270"/>
      <c r="L10" s="270"/>
      <c r="M10" s="270"/>
      <c r="N10" s="341"/>
    </row>
    <row r="11" spans="2:14" x14ac:dyDescent="0.3">
      <c r="B11" s="338" t="s">
        <v>550</v>
      </c>
      <c r="C11" s="270">
        <v>749</v>
      </c>
      <c r="D11" s="270">
        <v>799</v>
      </c>
      <c r="E11" s="270">
        <v>985</v>
      </c>
      <c r="F11" s="339">
        <v>1240</v>
      </c>
      <c r="G11" s="339">
        <v>1492</v>
      </c>
      <c r="H11" s="339">
        <v>1517</v>
      </c>
      <c r="I11" s="339">
        <v>1748</v>
      </c>
      <c r="J11" s="339">
        <v>2121</v>
      </c>
      <c r="K11" s="339">
        <v>2121</v>
      </c>
      <c r="L11" s="339">
        <v>2812</v>
      </c>
      <c r="M11" s="339">
        <v>2624</v>
      </c>
      <c r="N11" s="340">
        <v>3160</v>
      </c>
    </row>
    <row r="12" spans="2:14" ht="57.6" x14ac:dyDescent="0.3">
      <c r="B12" s="347" t="s">
        <v>784</v>
      </c>
      <c r="C12" s="270">
        <v>103</v>
      </c>
      <c r="D12" s="270">
        <v>25</v>
      </c>
      <c r="E12" s="270">
        <v>17</v>
      </c>
      <c r="F12" s="270">
        <v>41</v>
      </c>
      <c r="G12" s="270">
        <v>37</v>
      </c>
      <c r="H12" s="270">
        <v>53</v>
      </c>
      <c r="I12" s="270">
        <v>69</v>
      </c>
      <c r="J12" s="270">
        <v>114</v>
      </c>
      <c r="K12" s="270"/>
      <c r="L12" s="270">
        <v>16</v>
      </c>
      <c r="M12" s="270">
        <v>27</v>
      </c>
      <c r="N12" s="341">
        <v>103</v>
      </c>
    </row>
    <row r="13" spans="2:14" x14ac:dyDescent="0.3">
      <c r="B13" s="338"/>
      <c r="C13" s="270"/>
      <c r="D13" s="270"/>
      <c r="E13" s="270"/>
      <c r="F13" s="270"/>
      <c r="G13" s="270"/>
      <c r="H13" s="270"/>
      <c r="I13" s="270"/>
      <c r="J13" s="270"/>
      <c r="K13" s="270"/>
      <c r="L13" s="270"/>
      <c r="M13" s="270"/>
      <c r="N13" s="341"/>
    </row>
    <row r="14" spans="2:14" x14ac:dyDescent="0.3">
      <c r="B14" s="348" t="s">
        <v>785</v>
      </c>
      <c r="C14" s="349">
        <f t="shared" ref="C14:N14" si="2">SUM(C11:C12)</f>
        <v>852</v>
      </c>
      <c r="D14" s="349">
        <f t="shared" si="2"/>
        <v>824</v>
      </c>
      <c r="E14" s="349">
        <f t="shared" si="2"/>
        <v>1002</v>
      </c>
      <c r="F14" s="349">
        <f t="shared" si="2"/>
        <v>1281</v>
      </c>
      <c r="G14" s="349">
        <f t="shared" si="2"/>
        <v>1529</v>
      </c>
      <c r="H14" s="349">
        <f t="shared" si="2"/>
        <v>1570</v>
      </c>
      <c r="I14" s="349">
        <f t="shared" si="2"/>
        <v>1817</v>
      </c>
      <c r="J14" s="349">
        <f t="shared" si="2"/>
        <v>2235</v>
      </c>
      <c r="K14" s="349">
        <f t="shared" si="2"/>
        <v>2121</v>
      </c>
      <c r="L14" s="349">
        <f t="shared" si="2"/>
        <v>2828</v>
      </c>
      <c r="M14" s="349">
        <f t="shared" si="2"/>
        <v>2651</v>
      </c>
      <c r="N14" s="350">
        <f t="shared" si="2"/>
        <v>3263</v>
      </c>
    </row>
    <row r="15" spans="2:14" x14ac:dyDescent="0.3">
      <c r="B15" s="338"/>
      <c r="C15" s="270"/>
      <c r="D15" s="270"/>
      <c r="E15" s="270"/>
      <c r="F15" s="270"/>
      <c r="G15" s="270"/>
      <c r="H15" s="270"/>
      <c r="I15" s="270"/>
      <c r="J15" s="270"/>
      <c r="K15" s="270"/>
      <c r="L15" s="270"/>
      <c r="M15" s="270"/>
      <c r="N15" s="341"/>
    </row>
    <row r="16" spans="2:14" x14ac:dyDescent="0.3">
      <c r="B16" s="348" t="s">
        <v>763</v>
      </c>
      <c r="C16" s="349">
        <f t="shared" ref="C16:N16" si="3">C8-C14</f>
        <v>108</v>
      </c>
      <c r="D16" s="349">
        <f t="shared" si="3"/>
        <v>235</v>
      </c>
      <c r="E16" s="349">
        <f t="shared" si="3"/>
        <v>32</v>
      </c>
      <c r="F16" s="349">
        <f t="shared" si="3"/>
        <v>-142</v>
      </c>
      <c r="G16" s="349">
        <f t="shared" si="3"/>
        <v>-87</v>
      </c>
      <c r="H16" s="349">
        <f t="shared" si="3"/>
        <v>58</v>
      </c>
      <c r="I16" s="349">
        <f t="shared" si="3"/>
        <v>35</v>
      </c>
      <c r="J16" s="349">
        <f t="shared" si="3"/>
        <v>-46</v>
      </c>
      <c r="K16" s="349">
        <f t="shared" si="3"/>
        <v>66</v>
      </c>
      <c r="L16" s="349">
        <f t="shared" si="3"/>
        <v>-363</v>
      </c>
      <c r="M16" s="349">
        <f t="shared" si="3"/>
        <v>643</v>
      </c>
      <c r="N16" s="350">
        <f t="shared" si="3"/>
        <v>-265</v>
      </c>
    </row>
    <row r="17" spans="2:14" x14ac:dyDescent="0.3">
      <c r="B17" s="338"/>
      <c r="C17" s="270"/>
      <c r="D17" s="270"/>
      <c r="E17" s="270"/>
      <c r="F17" s="270"/>
      <c r="G17" s="270"/>
      <c r="H17" s="270"/>
      <c r="I17" s="270"/>
      <c r="J17" s="270"/>
      <c r="K17" s="270"/>
      <c r="L17" s="270"/>
      <c r="M17" s="270"/>
      <c r="N17" s="341"/>
    </row>
    <row r="18" spans="2:14" x14ac:dyDescent="0.3">
      <c r="B18" s="342" t="s">
        <v>786</v>
      </c>
      <c r="C18" s="343"/>
      <c r="D18" s="343">
        <f t="shared" ref="D18:N18" si="4">D16-C16</f>
        <v>127</v>
      </c>
      <c r="E18" s="343">
        <f t="shared" si="4"/>
        <v>-203</v>
      </c>
      <c r="F18" s="343">
        <f t="shared" si="4"/>
        <v>-174</v>
      </c>
      <c r="G18" s="343">
        <f t="shared" si="4"/>
        <v>55</v>
      </c>
      <c r="H18" s="343">
        <f t="shared" si="4"/>
        <v>145</v>
      </c>
      <c r="I18" s="343">
        <f t="shared" si="4"/>
        <v>-23</v>
      </c>
      <c r="J18" s="343">
        <f t="shared" si="4"/>
        <v>-81</v>
      </c>
      <c r="K18" s="343">
        <f t="shared" si="4"/>
        <v>112</v>
      </c>
      <c r="L18" s="343">
        <f t="shared" si="4"/>
        <v>-429</v>
      </c>
      <c r="M18" s="343">
        <f t="shared" si="4"/>
        <v>1006</v>
      </c>
      <c r="N18" s="344">
        <f t="shared" si="4"/>
        <v>-908</v>
      </c>
    </row>
    <row r="19" spans="2:14" x14ac:dyDescent="0.3">
      <c r="B19" t="s">
        <v>787</v>
      </c>
      <c r="C19" s="83">
        <v>8175</v>
      </c>
      <c r="D19" s="83">
        <v>9141</v>
      </c>
      <c r="E19" s="83">
        <v>10010</v>
      </c>
      <c r="F19" s="83">
        <v>11292</v>
      </c>
      <c r="G19" s="83">
        <v>12369</v>
      </c>
      <c r="H19" s="83">
        <v>13350</v>
      </c>
      <c r="I19" s="83">
        <v>14741</v>
      </c>
      <c r="J19" s="83">
        <v>16897</v>
      </c>
      <c r="K19" s="83">
        <v>19126</v>
      </c>
      <c r="L19" s="83">
        <v>24394</v>
      </c>
      <c r="M19" s="83">
        <v>20202</v>
      </c>
      <c r="N19" s="83">
        <v>23155</v>
      </c>
    </row>
    <row r="21" spans="2:14" x14ac:dyDescent="0.3">
      <c r="B21" t="s">
        <v>788</v>
      </c>
      <c r="D21" s="58">
        <f t="shared" ref="D21:N21" si="5">D18/D19</f>
        <v>1.3893447106443496E-2</v>
      </c>
      <c r="E21" s="58">
        <f t="shared" si="5"/>
        <v>-2.0279720279720279E-2</v>
      </c>
      <c r="F21" s="58">
        <f t="shared" si="5"/>
        <v>-1.5409139213602551E-2</v>
      </c>
      <c r="G21" s="58">
        <f t="shared" si="5"/>
        <v>4.4466003718974852E-3</v>
      </c>
      <c r="H21" s="58">
        <f t="shared" si="5"/>
        <v>1.0861423220973783E-2</v>
      </c>
      <c r="I21" s="58">
        <f t="shared" si="5"/>
        <v>-1.5602740655315107E-3</v>
      </c>
      <c r="J21" s="58">
        <f t="shared" si="5"/>
        <v>-4.7937503698881456E-3</v>
      </c>
      <c r="K21" s="58">
        <f t="shared" si="5"/>
        <v>5.8559029593223885E-3</v>
      </c>
      <c r="L21" s="58">
        <f t="shared" si="5"/>
        <v>-1.7586291711076493E-2</v>
      </c>
      <c r="M21" s="58">
        <f t="shared" si="5"/>
        <v>4.9797049797049797E-2</v>
      </c>
      <c r="N21" s="58">
        <f t="shared" si="5"/>
        <v>-3.9213992658173179E-2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vt:i4>
      </vt:variant>
    </vt:vector>
  </HeadingPairs>
  <TitlesOfParts>
    <vt:vector size="25" baseType="lpstr">
      <vt:lpstr>Cash Flow Data</vt:lpstr>
      <vt:lpstr>Company Flows</vt:lpstr>
      <vt:lpstr>WACC (2)</vt:lpstr>
      <vt:lpstr>Data Sheet</vt:lpstr>
      <vt:lpstr>Historical Analysis</vt:lpstr>
      <vt:lpstr>Ratio Analysis</vt:lpstr>
      <vt:lpstr>Nestle - Forecasting</vt:lpstr>
      <vt:lpstr>Beta - FMCG</vt:lpstr>
      <vt:lpstr>Regression</vt:lpstr>
      <vt:lpstr>Forecasting</vt:lpstr>
      <vt:lpstr>Beta - Retailer</vt:lpstr>
      <vt:lpstr>WACC</vt:lpstr>
      <vt:lpstr>Rm</vt:lpstr>
      <vt:lpstr>Beta comparable companies</vt:lpstr>
      <vt:lpstr>Bajaj Finserve -Raw Data</vt:lpstr>
      <vt:lpstr>Intrinsic Growth</vt:lpstr>
      <vt:lpstr>DCF</vt:lpstr>
      <vt:lpstr>DCF Notes</vt:lpstr>
      <vt:lpstr>DCF </vt:lpstr>
      <vt:lpstr>Sheet1</vt:lpstr>
      <vt:lpstr>'DCF '!Print_Area</vt:lpstr>
      <vt:lpstr>'Nestle - Forecasting'!Print_Area</vt:lpstr>
      <vt:lpstr>WACC!Print_Area</vt:lpstr>
      <vt:lpstr>'WACC (2)'!Print_Area</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Umadevi Pagadala</dc:creator>
  <cp:lastModifiedBy>Umadevi Pagadala</cp:lastModifiedBy>
  <cp:lastPrinted>2026-08-11T03:35:36Z</cp:lastPrinted>
  <dcterms:created xsi:type="dcterms:W3CDTF">2026-06-26T05:40:47Z</dcterms:created>
  <dcterms:modified xsi:type="dcterms:W3CDTF">2026-08-11T03:52:19Z</dcterms:modified>
</cp:coreProperties>
</file>